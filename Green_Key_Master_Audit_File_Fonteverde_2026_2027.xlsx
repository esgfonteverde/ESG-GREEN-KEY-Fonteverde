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MASTER_DASHBOARD" sheetId="1" state="visible" r:id="rId1"/>
    <sheet xmlns:r="http://schemas.openxmlformats.org/officeDocument/2006/relationships" name="01_MASTER_CRITERIA" sheetId="2" state="visible" r:id="rId2"/>
    <sheet xmlns:r="http://schemas.openxmlformats.org/officeDocument/2006/relationships" name="02_EVIDENCE_REGISTER" sheetId="3" state="visible" r:id="rId3"/>
    <sheet xmlns:r="http://schemas.openxmlformats.org/officeDocument/2006/relationships" name="03_ACTION_PLAN_24M" sheetId="4" state="visible" r:id="rId4"/>
    <sheet xmlns:r="http://schemas.openxmlformats.org/officeDocument/2006/relationships" name="04_TIMELINE" sheetId="5" state="visible" r:id="rId5"/>
    <sheet xmlns:r="http://schemas.openxmlformats.org/officeDocument/2006/relationships" name="05_RESPONSIBILITY_MATRIX" sheetId="6" state="visible" r:id="rId6"/>
    <sheet xmlns:r="http://schemas.openxmlformats.org/officeDocument/2006/relationships" name="06_SOURCES" sheetId="7" state="visible" r:id="rId7"/>
  </sheets>
  <definedNames>
    <definedName name="_xlnm._FilterDatabase" localSheetId="1" hidden="1">'01_MASTER_CRITERIA'!$A$1:$N$140</definedName>
    <definedName name="_xlnm._FilterDatabase" localSheetId="3" hidden="1">'03_ACTION_PLAN_24M'!$A$1:$L$19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8"/>
    </font>
    <font>
      <b val="1"/>
      <color rgb="001F4E3D"/>
    </font>
    <font>
      <b val="1"/>
      <color rgb="00FFFFFF"/>
      <sz val="12"/>
    </font>
    <font>
      <b val="1"/>
      <color rgb="00FFFFFF"/>
    </font>
  </fonts>
  <fills count="3">
    <fill>
      <patternFill/>
    </fill>
    <fill>
      <patternFill patternType="gray125"/>
    </fill>
    <fill>
      <patternFill patternType="solid">
        <fgColor rgb="001F4E3D"/>
      </patternFill>
    </fill>
  </fills>
  <borders count="2">
    <border>
      <left/>
      <right/>
      <top/>
      <bottom/>
      <diagonal/>
    </border>
    <border>
      <bottom style="thin">
        <color rgb="00B7B7B7"/>
      </bottom>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3" fillId="2" borderId="0" pivotButton="0" quotePrefix="0" xfId="0"/>
    <xf numFmtId="0" fontId="4" fillId="2" borderId="0" pivotButton="0" quotePrefix="0" xfId="0"/>
    <xf numFmtId="0" fontId="4" fillId="2" borderId="0" applyAlignment="1" pivotButton="0" quotePrefix="0" xfId="0">
      <alignment wrapText="1"/>
    </xf>
    <xf numFmtId="0"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3">
    <dxf>
      <fill>
        <patternFill patternType="solid">
          <fgColor rgb="00E2F0D9"/>
        </patternFill>
      </fill>
    </dxf>
    <dxf>
      <fill>
        <patternFill patternType="solid">
          <fgColor rgb="00F4CCCC"/>
        </patternFill>
      </fill>
    </dxf>
    <dxf>
      <fill>
        <patternFill patternType="solid">
          <fgColor rgb="00D9EA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showGridLines="0" workbookViewId="0">
      <pane ySplit="1" topLeftCell="A2" activePane="bottomLeft" state="frozen"/>
      <selection pane="bottomLeft" activeCell="A1" sqref="A1"/>
    </sheetView>
  </sheetViews>
  <sheetFormatPr baseColWidth="8" defaultRowHeight="15"/>
  <cols>
    <col width="10" customWidth="1" min="1" max="1"/>
    <col width="24" customWidth="1" min="2" max="2"/>
    <col width="58" customWidth="1" min="3" max="3"/>
    <col width="34" customWidth="1" min="4" max="4"/>
    <col width="18" customWidth="1" min="5" max="5"/>
    <col width="18" customWidth="1" min="6" max="6"/>
    <col width="18" customWidth="1" min="7" max="7"/>
    <col width="18" customWidth="1" min="8" max="8"/>
  </cols>
  <sheetData>
    <row r="1">
      <c r="A1" s="1" t="inlineStr">
        <is>
          <t>GREEN KEY MASTER AUDIT FILE – FONTEVERDE</t>
        </is>
      </c>
    </row>
    <row r="3">
      <c r="A3" s="2" t="inlineStr">
        <is>
          <t>Struttura</t>
        </is>
      </c>
      <c r="B3" t="inlineStr">
        <is>
          <t>Fonteverde Lifestyle &amp; Thermal Retreat</t>
        </is>
      </c>
    </row>
    <row r="4">
      <c r="A4" s="2" t="inlineStr">
        <is>
          <t>Referente Green Key</t>
        </is>
      </c>
      <c r="B4" t="inlineStr">
        <is>
          <t>Jonathan Pezzino</t>
        </is>
      </c>
    </row>
    <row r="5">
      <c r="A5" s="2" t="inlineStr">
        <is>
          <t>Direzione</t>
        </is>
      </c>
      <c r="B5" t="inlineStr">
        <is>
          <t>Massimo Dorino – General Manager</t>
        </is>
      </c>
    </row>
    <row r="6">
      <c r="A6" s="2" t="inlineStr">
        <is>
          <t>Periodo preparazione</t>
        </is>
      </c>
      <c r="B6" t="inlineStr">
        <is>
          <t>Settembre 2026 – Settembre 2027</t>
        </is>
      </c>
    </row>
    <row r="7">
      <c r="A7" s="2" t="inlineStr">
        <is>
          <t>Nuovi criteri</t>
        </is>
      </c>
      <c r="B7" t="inlineStr">
        <is>
          <t>1 ottobre 2026 – 31 dicembre 2031</t>
        </is>
      </c>
    </row>
    <row r="8">
      <c r="A8" s="2" t="inlineStr">
        <is>
          <t>Obiettivo</t>
        </is>
      </c>
      <c r="B8" t="inlineStr">
        <is>
          <t>Audit readiness: 100% criteri imperativi + quota crescente criteri guida applicabile</t>
        </is>
      </c>
    </row>
    <row r="10">
      <c r="A10" s="3" t="inlineStr">
        <is>
          <t>CONTROLLO DI READINESS</t>
        </is>
      </c>
    </row>
    <row r="11">
      <c r="A11" s="4" t="inlineStr">
        <is>
          <t>KPI</t>
        </is>
      </c>
      <c r="B11" s="4" t="inlineStr">
        <is>
          <t>Valore</t>
        </is>
      </c>
      <c r="D11" s="4" t="inlineStr">
        <is>
          <t>STATUS</t>
        </is>
      </c>
      <c r="E11" s="4" t="inlineStr">
        <is>
          <t>Numero</t>
        </is>
      </c>
    </row>
    <row r="12">
      <c r="A12" t="inlineStr">
        <is>
          <t>Totale criteri nel confronto</t>
        </is>
      </c>
      <c r="B12">
        <f>COUNTA('01_MASTER_CRITERIA'!A:A)-1</f>
        <v/>
      </c>
      <c r="D12" t="inlineStr">
        <is>
          <t>DA VERIFICARE</t>
        </is>
      </c>
      <c r="E12">
        <f>COUNTIF('01_MASTER_CRITERIA'!K:K,D12)</f>
        <v/>
      </c>
    </row>
    <row r="13">
      <c r="A13" t="inlineStr">
        <is>
          <t>Imperativi</t>
        </is>
      </c>
      <c r="B13">
        <f>COUNTIF('01_MASTER_CRITERIA'!D:D,"Imperativo")</f>
        <v/>
      </c>
      <c r="D13" t="inlineStr">
        <is>
          <t>IN CORSO</t>
        </is>
      </c>
      <c r="E13">
        <f>COUNTIF('01_MASTER_CRITERIA'!K:K,D13)</f>
        <v/>
      </c>
    </row>
    <row r="14">
      <c r="A14" t="inlineStr">
        <is>
          <t>Imperativi completati</t>
        </is>
      </c>
      <c r="B14">
        <f>COUNTIFS('01_MASTER_CRITERIA'!D:D,"Imperativo",'01_MASTER_CRITERIA'!K:K,"COMPLETATO")</f>
        <v/>
      </c>
      <c r="D14" t="inlineStr">
        <is>
          <t>COMPLETATO</t>
        </is>
      </c>
      <c r="E14">
        <f>COUNTIF('01_MASTER_CRITERIA'!K:K,D14)</f>
        <v/>
      </c>
    </row>
    <row r="15">
      <c r="A15" t="inlineStr">
        <is>
          <t>Imperativi da chiudere</t>
        </is>
      </c>
      <c r="B15">
        <f>B13-B14</f>
        <v/>
      </c>
      <c r="D15" t="inlineStr">
        <is>
          <t>CRITICO / NON CONFORME</t>
        </is>
      </c>
      <c r="E15">
        <f>COUNTIF('01_MASTER_CRITERIA'!K:K,D15)</f>
        <v/>
      </c>
    </row>
    <row r="16">
      <c r="A16" t="inlineStr">
        <is>
          <t>Criteri con evidenza audit</t>
        </is>
      </c>
      <c r="B16">
        <f>COUNTIF('01_MASTER_CRITERIA'!J:J,"SI")</f>
        <v/>
      </c>
    </row>
    <row r="17">
      <c r="A17" t="inlineStr">
        <is>
          <t>Azioni critiche aperte</t>
        </is>
      </c>
      <c r="B17">
        <f>COUNTIFS('01_MASTER_CRITERIA'!L:L,"ALTA",'01_MASTER_CRITERIA'!K:K,"&lt;&gt;COMPLETATO")</f>
        <v/>
      </c>
    </row>
    <row r="20">
      <c r="A20" s="3" t="inlineStr">
        <is>
          <t>PRIME 10 PRIORITÀ</t>
        </is>
      </c>
    </row>
    <row r="21">
      <c r="A21" t="inlineStr">
        <is>
          <t>1</t>
        </is>
      </c>
      <c r="B21" t="inlineStr">
        <is>
          <t>Governance</t>
        </is>
      </c>
      <c r="C21" t="inlineStr">
        <is>
          <t>Obiettivi strategici + baseline</t>
        </is>
      </c>
      <c r="D21" t="inlineStr">
        <is>
          <t>Jonathan + Massimo</t>
        </is>
      </c>
      <c r="E21" t="inlineStr">
        <is>
          <t>30/09/2026</t>
        </is>
      </c>
    </row>
    <row r="22">
      <c r="A22" t="inlineStr">
        <is>
          <t>2</t>
        </is>
      </c>
      <c r="B22" t="inlineStr">
        <is>
          <t>Governance</t>
        </is>
      </c>
      <c r="C22" t="inlineStr">
        <is>
          <t>Action Plan 24 mesi allineato agli obiettivi</t>
        </is>
      </c>
      <c r="D22" t="inlineStr">
        <is>
          <t>Jonathan + Green Team</t>
        </is>
      </c>
      <c r="E22" t="inlineStr">
        <is>
          <t>15/10/2026</t>
        </is>
      </c>
    </row>
    <row r="23">
      <c r="A23" t="inlineStr">
        <is>
          <t>3</t>
        </is>
      </c>
      <c r="B23" t="inlineStr">
        <is>
          <t>Governance</t>
        </is>
      </c>
      <c r="C23" t="inlineStr">
        <is>
          <t>Nomina sostituto Referente Green Key</t>
        </is>
      </c>
      <c r="D23" t="inlineStr">
        <is>
          <t>Massimo + HR</t>
        </is>
      </c>
      <c r="E23" t="inlineStr">
        <is>
          <t>30/09/2026</t>
        </is>
      </c>
    </row>
    <row r="24">
      <c r="A24" t="inlineStr">
        <is>
          <t>4</t>
        </is>
      </c>
      <c r="B24" t="inlineStr">
        <is>
          <t>Audit evidence</t>
        </is>
      </c>
      <c r="C24" t="inlineStr">
        <is>
          <t>Digital Binder criterio-per-criterio</t>
        </is>
      </c>
      <c r="D24" t="inlineStr">
        <is>
          <t>Jonathan</t>
        </is>
      </c>
      <c r="E24" t="inlineStr">
        <is>
          <t>31/10/2026</t>
        </is>
      </c>
    </row>
    <row r="25">
      <c r="A25" t="inlineStr">
        <is>
          <t>5</t>
        </is>
      </c>
      <c r="B25" t="inlineStr">
        <is>
          <t>Carbon</t>
        </is>
      </c>
      <c r="C25" t="inlineStr">
        <is>
          <t>Scope 1–2 e successivamente Scope 3</t>
        </is>
      </c>
      <c r="D25" t="inlineStr">
        <is>
          <t>Jonathan + Finance</t>
        </is>
      </c>
      <c r="E25" t="inlineStr">
        <is>
          <t>31/01/2027 / 31/03/2027</t>
        </is>
      </c>
    </row>
    <row r="26">
      <c r="A26" t="inlineStr">
        <is>
          <t>6</t>
        </is>
      </c>
      <c r="B26" t="inlineStr">
        <is>
          <t>Water</t>
        </is>
      </c>
      <c r="C26" t="inlineStr">
        <is>
          <t>Water Risk Assessment</t>
        </is>
      </c>
      <c r="D26" t="inlineStr">
        <is>
          <t>Jonathan + Maintenance</t>
        </is>
      </c>
      <c r="E26" t="inlineStr">
        <is>
          <t>31/01/2027</t>
        </is>
      </c>
    </row>
    <row r="27">
      <c r="A27" t="inlineStr">
        <is>
          <t>7</t>
        </is>
      </c>
      <c r="B27" t="inlineStr">
        <is>
          <t>Biodiversity</t>
        </is>
      </c>
      <c r="C27" t="inlineStr">
        <is>
          <t>Nature/Biodiversity Risk &amp; Opportunity Assessment</t>
        </is>
      </c>
      <c r="D27" t="inlineStr">
        <is>
          <t>Jonathan + Gardening</t>
        </is>
      </c>
      <c r="E27" t="inlineStr">
        <is>
          <t>31/01/2027</t>
        </is>
      </c>
    </row>
    <row r="28">
      <c r="A28" t="inlineStr">
        <is>
          <t>8</t>
        </is>
      </c>
      <c r="B28" t="inlineStr">
        <is>
          <t>HR/CSR</t>
        </is>
      </c>
      <c r="C28" t="inlineStr">
        <is>
          <t>Lavoro equo, Code of Conduct, welfare, accessibilità</t>
        </is>
      </c>
      <c r="D28" t="inlineStr">
        <is>
          <t>HR + Operations</t>
        </is>
      </c>
      <c r="E28" t="inlineStr">
        <is>
          <t>31/01/2027</t>
        </is>
      </c>
    </row>
    <row r="29">
      <c r="A29" t="inlineStr">
        <is>
          <t>9</t>
        </is>
      </c>
      <c r="B29" t="inlineStr">
        <is>
          <t>Procurement</t>
        </is>
      </c>
      <c r="C29" t="inlineStr">
        <is>
          <t>Sustainable Procurement Policy</t>
        </is>
      </c>
      <c r="D29" t="inlineStr">
        <is>
          <t>Operations + Purchasing</t>
        </is>
      </c>
      <c r="E29" t="inlineStr">
        <is>
          <t>31/01/2027</t>
        </is>
      </c>
    </row>
    <row r="30">
      <c r="A30" t="inlineStr">
        <is>
          <t>10</t>
        </is>
      </c>
      <c r="B30" t="inlineStr">
        <is>
          <t>Training</t>
        </is>
      </c>
      <c r="C30" t="inlineStr">
        <is>
          <t>Formazione + interviste staff + Green Key briefing</t>
        </is>
      </c>
      <c r="D30" t="inlineStr">
        <is>
          <t>HR + Jonathan</t>
        </is>
      </c>
      <c r="E30" t="inlineStr">
        <is>
          <t>30/11/2026</t>
        </is>
      </c>
    </row>
  </sheetData>
  <mergeCells count="9">
    <mergeCell ref="B8:E8"/>
    <mergeCell ref="B4:E4"/>
    <mergeCell ref="A20:H20"/>
    <mergeCell ref="B6:E6"/>
    <mergeCell ref="A10:H10"/>
    <mergeCell ref="B7:E7"/>
    <mergeCell ref="B3:E3"/>
    <mergeCell ref="B5:E5"/>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0"/>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48" customWidth="1" min="3" max="3"/>
    <col width="14" customWidth="1" min="4" max="4"/>
    <col width="55" customWidth="1" min="5" max="5"/>
    <col width="18" customWidth="1" min="6" max="6"/>
    <col width="32" customWidth="1" min="7" max="7"/>
    <col width="28" customWidth="1" min="8" max="8"/>
    <col width="52" customWidth="1" min="9" max="9"/>
    <col width="18" customWidth="1" min="10" max="10"/>
    <col width="24" customWidth="1" min="11" max="11"/>
    <col width="16" customWidth="1" min="12" max="12"/>
    <col width="38" customWidth="1" min="13" max="13"/>
    <col width="35" customWidth="1" min="14" max="14"/>
  </cols>
  <sheetData>
    <row r="1">
      <c r="A1" s="5" t="inlineStr">
        <is>
          <t>Criterio</t>
        </is>
      </c>
      <c r="B1" s="5" t="inlineStr">
        <is>
          <t>Area</t>
        </is>
      </c>
      <c r="C1" s="5" t="inlineStr">
        <is>
          <t>Nuovo requisito – sintesi</t>
        </is>
      </c>
      <c r="D1" s="5" t="inlineStr">
        <is>
          <t>Tipo</t>
        </is>
      </c>
      <c r="E1" s="5" t="inlineStr">
        <is>
          <t>Modifica 2026–2031</t>
        </is>
      </c>
      <c r="F1" s="5" t="inlineStr">
        <is>
          <t>Priorità Green Key</t>
        </is>
      </c>
      <c r="G1" s="5" t="inlineStr">
        <is>
          <t>Responsabile Fonteverde</t>
        </is>
      </c>
      <c r="H1" s="5" t="inlineStr">
        <is>
          <t>Reparti coinvolti</t>
        </is>
      </c>
      <c r="I1" s="5" t="inlineStr">
        <is>
          <t>Azione / verifica Fonteverde</t>
        </is>
      </c>
      <c r="J1" s="5" t="inlineStr">
        <is>
          <t>Evidenza audit pronta?</t>
        </is>
      </c>
      <c r="K1" s="5" t="inlineStr">
        <is>
          <t>Status</t>
        </is>
      </c>
      <c r="L1" s="5" t="inlineStr">
        <is>
          <t>Scadenza</t>
        </is>
      </c>
      <c r="M1" s="5" t="inlineStr">
        <is>
          <t>Documento / prova da preparare</t>
        </is>
      </c>
      <c r="N1" s="5" t="inlineStr">
        <is>
          <t>Note auditor</t>
        </is>
      </c>
    </row>
    <row r="2">
      <c r="A2" s="6" t="inlineStr">
        <is>
          <t>1.1</t>
        </is>
      </c>
      <c r="B2" s="6" t="inlineStr">
        <is>
          <t>Gestione sostenibile</t>
        </is>
      </c>
      <c r="C2" s="6" t="inlineStr">
        <is>
          <t>La direzione è coinvolta e nomina un Referente della Struttura per Green Key scelto tra il personale della struttura. (I)</t>
        </is>
      </c>
      <c r="D2" s="6" t="inlineStr">
        <is>
          <t>Imperativo</t>
        </is>
      </c>
      <c r="E2" s="6" t="inlineStr">
        <is>
          <t>Moderato:
- Aggiunta la dicitura "la direzione nomina anche un sostituto designato" per il "Referente della Struttura per Green Key
- Aggiunte le principali funzioni del Referente della Struttura per Green Key
Minore:
- Modificata la dicitura da "responsabile ambientale" a "Referente della Struttura per Green Key"
- Miglioramento della formulazione
Modifiche all'audit:
- Leggermente modificato/chiarito il processo di audit, da "il responsabile ambientale è normalmente presente" a "l'intervista conferma che il Referente della Struttura per Green Keyè in grado di rispondere a domande sul lavoro svolto presso l'azienda in merito a questioni generali di sostenibilità e ai requisiti Green Key". A parte questo, non sono state apportate altre modifiche al processo di audit.
- Leggermente modificato/chiarito il processo di audit, da "il responsabile ambientale è normalmente presente" a "l'intervista conferma che il Referente della Struttura per Green Key è in grado di rispondere a domande sul lavoro svolto presso l'azienda in merito a questioni generali di sostenibilità e ai requisiti Green Key". A parte questo, non sono state apportate altre modifiche al processo di audit.</t>
        </is>
      </c>
      <c r="F2" s="6" t="inlineStr">
        <is>
          <t>Basso/medio</t>
        </is>
      </c>
      <c r="G2" s="6" t="inlineStr">
        <is>
          <t>Alessandra Ferrara – Operations / Maintenance</t>
        </is>
      </c>
      <c r="H2" s="6" t="inlineStr"/>
      <c r="I2" s="6" t="inlineStr">
        <is>
          <t>Confermare referente e nominare sostituto; formalizzare responsabilità e disponibilità.</t>
        </is>
      </c>
      <c r="J2" s="6" t="inlineStr">
        <is>
          <t>NO</t>
        </is>
      </c>
      <c r="K2" s="6" t="inlineStr">
        <is>
          <t>DA VERIFICARE</t>
        </is>
      </c>
      <c r="L2" s="6" t="inlineStr"/>
      <c r="M2" s="6" t="inlineStr">
        <is>
          <t>Da definire in gap audit</t>
        </is>
      </c>
      <c r="N2" s="6" t="inlineStr"/>
    </row>
    <row r="3">
      <c r="A3" s="6" t="inlineStr">
        <is>
          <t>1.2</t>
        </is>
      </c>
      <c r="B3" s="6" t="inlineStr">
        <is>
          <t>Gestione sostenibile</t>
        </is>
      </c>
      <c r="C3" s="6" t="inlineStr">
        <is>
          <t>La struttura formula obiettivi strategici di sostenibilità.  (I)</t>
        </is>
      </c>
      <c r="D3" s="6" t="inlineStr">
        <is>
          <t>Imperativo</t>
        </is>
      </c>
      <c r="E3" s="6" t="inlineStr">
        <is>
          <t>Principale:
- Modificato il focus, da "politica di sostenibilità" a "obiettivi strategici di sostenibilità".
- Aggiunto che le aziende con ≥50 dipendenti devono formulare un minimo di 4 obiettivi strategici, mentre le aziende con meno di 50 dipendenti devono formulare un minimo di 2 obiettivi strategici.
Minore:
- Miglioramento della formulazione
Modifiche all'audit:
- Aggiornato il processo di audit in modo che copra il contenuto del nuovo criterio (obiettivi di sostenibilità): durante l'audit, l'azienda presenta i propri obiettivi strategici di sostenibilità, scritti e datati. Viene verificato che: · siano stati comunicati internamente e siano a disposizione del personale; · coprano almeno 2 delle diverse aree elencate sopra; · abbiano meno di 2 anni; e · siano stati elaborati dal personale e dalla direzione. Il rappresentante dell'azienda Green Key è inoltre responsabile dell'accuratezza e del follow-up.</t>
        </is>
      </c>
      <c r="F3" s="6" t="inlineStr">
        <is>
          <t>Alto</t>
        </is>
      </c>
      <c r="G3" s="6" t="inlineStr">
        <is>
          <t>Alessandra Ferrara – Operations / Maintenance</t>
        </is>
      </c>
      <c r="H3" s="6" t="inlineStr"/>
      <c r="I3" s="6" t="inlineStr">
        <is>
          <t>Definire obiettivi strategici 2026–2031 con baseline, KPI, target, owner e approvazione Direzione.</t>
        </is>
      </c>
      <c r="J3" s="6" t="inlineStr">
        <is>
          <t>NO</t>
        </is>
      </c>
      <c r="K3" s="6" t="inlineStr">
        <is>
          <t>DA VERIFICARE</t>
        </is>
      </c>
      <c r="L3" s="6" t="inlineStr"/>
      <c r="M3" s="6" t="inlineStr">
        <is>
          <t>Da definire in gap audit</t>
        </is>
      </c>
      <c r="N3" s="6" t="inlineStr"/>
    </row>
    <row r="4">
      <c r="A4" s="6" t="inlineStr">
        <is>
          <t>1.3</t>
        </is>
      </c>
      <c r="B4" s="6" t="inlineStr">
        <is>
          <t>Gestione sostenibile</t>
        </is>
      </c>
      <c r="C4" s="6" t="inlineStr">
        <is>
          <t>La struttura formula un piano d'azione allineato ai propri obiettivi strategici di sostenibilità. (I)</t>
        </is>
      </c>
      <c r="D4" s="6" t="inlineStr">
        <is>
          <t>Imperativo</t>
        </is>
      </c>
      <c r="E4" s="6" t="inlineStr">
        <is>
          <t>Moderato:
- Modificato il focus, da "obiettivi e piano d'azione annuale" a "piano d'azione allineato con i suoi obiettivi strategici di sostenibilità".
- Aggiunto che per le aziende con ≥50 dipendenti il ​​piano deve includere un minimo di 4 azioni per periodo di certificazione. Per le aziende con meno di 50 dipendenti, è necessario includere un minimo di 2 azioni per periodo di certificazione.
Minore:
- Miglioramento della formulazione.
Modifiche all'audit:
- Aggiornato il processo di audit in modo che copra il contenuto del nuovo criterio: si verifica che il piano d'azione annuale per il prossimo periodo di certificazione includa un minimo di 4 azioni (per le aziende con ≥50 dipendenti) o 2 azioni (per le aziende con meno di 50 dipendenti) per periodo di certificazione; contenga azioni collegate a uno o più obiettivi strategici di sostenibilità; includa tempistiche e reparti o membri del personale responsabili; e sia comunicato internamente e disponibile al personale. Per i richiedenti che rinnovano la certificazione, l'azienda deve presentare prove dei progressi o del completamento del precedente piano d'azione.</t>
        </is>
      </c>
      <c r="F4" s="6" t="inlineStr">
        <is>
          <t>medio</t>
        </is>
      </c>
      <c r="G4" s="6" t="inlineStr">
        <is>
          <t>Alessandra Ferrara – Operations / Maintenance</t>
        </is>
      </c>
      <c r="H4" s="6" t="inlineStr"/>
      <c r="I4" s="6" t="inlineStr">
        <is>
          <t>Creare piano 24 mesi con azioni misurabili, owner, tempi, KPI e collegamento agli obiettivi.</t>
        </is>
      </c>
      <c r="J4" s="6" t="inlineStr">
        <is>
          <t>NO</t>
        </is>
      </c>
      <c r="K4" s="6" t="inlineStr">
        <is>
          <t>DA VERIFICARE</t>
        </is>
      </c>
      <c r="L4" s="6" t="inlineStr"/>
      <c r="M4" s="6" t="inlineStr">
        <is>
          <t>Da definire in gap audit</t>
        </is>
      </c>
      <c r="N4" s="6" t="inlineStr"/>
    </row>
    <row r="5">
      <c r="A5" s="6" t="inlineStr">
        <is>
          <t>1.4</t>
        </is>
      </c>
      <c r="B5" s="6" t="inlineStr">
        <is>
          <t>Gestione sostenibile</t>
        </is>
      </c>
      <c r="C5" s="6" t="inlineStr">
        <is>
          <t>La struttura garantisce pratiche lavorative eque, inclusi contratti in forma scritta, parità di retribuzione a parità di mansioni e una pari o superiore al salario dignitoso per tutti i dipendenti e i lavoratori in subappalto. (I)</t>
        </is>
      </c>
      <c r="D5" s="6" t="inlineStr">
        <is>
          <t>Imperativo</t>
        </is>
      </c>
      <c r="E5" s="6" t="inlineStr">
        <is>
          <t>Importante:
- Nuovo requisito (imperativo)</t>
        </is>
      </c>
      <c r="F5" s="6" t="inlineStr">
        <is>
          <t>Alto</t>
        </is>
      </c>
      <c r="G5" s="6" t="inlineStr">
        <is>
          <t>Rosita Paglialunga – HR</t>
        </is>
      </c>
      <c r="H5" s="6" t="inlineStr"/>
      <c r="I5" s="6" t="inlineStr">
        <is>
          <t>HR: audit documentale su contratti, retribuzioni, subappalti e parità di trattamento.</t>
        </is>
      </c>
      <c r="J5" s="6" t="inlineStr">
        <is>
          <t>NO</t>
        </is>
      </c>
      <c r="K5" s="6" t="inlineStr">
        <is>
          <t>DA VERIFICARE</t>
        </is>
      </c>
      <c r="L5" s="6" t="inlineStr"/>
      <c r="M5" s="6" t="inlineStr">
        <is>
          <t>Da definire in gap audit</t>
        </is>
      </c>
      <c r="N5" s="6" t="inlineStr"/>
    </row>
    <row r="6">
      <c r="A6" s="6" t="inlineStr">
        <is>
          <t>1.5</t>
        </is>
      </c>
      <c r="B6" s="6" t="inlineStr">
        <is>
          <t>Gestione sostenibile</t>
        </is>
      </c>
      <c r="C6" s="6" t="inlineStr">
        <is>
          <t>La struttura non utilizza né accetta il lavoro minorile e garantisce la protezione dei minori nell'occupazio ne. (I)</t>
        </is>
      </c>
      <c r="D6" s="6" t="inlineStr">
        <is>
          <t>Imperativo</t>
        </is>
      </c>
      <c r="E6" s="6" t="inlineStr">
        <is>
          <t>Riorganizzazione:
- Spostato al punto 1. Gestione sostenibile
Nota minore:
- Chiarimento: "L'azienda garantisce che nessun bambino di età inferiore ai 14 anni venga impiegato e che qualsiasi coinvolgimento di minori di età inferiore ai 18 anni sul luogo di lavoro sia rigorosamente regolamentato, di natura protettiva e conforme agli standard nazionali e internazionali in materia di tutela dei minori. L'azienda garantisce inoltre di non stipulare contratti con fornitori che impiegano lavoro minorile."
- Miglioramento della formulazione
Modifiche all'audit:
- Chiarimento sulla documentazione da includere nell'audit: dichiarazione firmata, consenso scritto del tutore o accordi con istituti scolastici (ove applicabile), documentazione che dimostri la conformità alle leggi sul lavoro applicabili per qualsiasi individuo di età inferiore ai 18 anni che lavora presso l'azienda.</t>
        </is>
      </c>
      <c r="F6" s="6" t="inlineStr">
        <is>
          <t>Basso</t>
        </is>
      </c>
      <c r="G6" s="6" t="inlineStr">
        <is>
          <t>Rosita Paglialunga – HR</t>
        </is>
      </c>
      <c r="H6" s="6" t="inlineStr"/>
      <c r="I6" s="6" t="inlineStr">
        <is>
          <t>Verificare requisito, gap interno, implementazione e prova documentale.</t>
        </is>
      </c>
      <c r="J6" s="6" t="inlineStr">
        <is>
          <t>NO</t>
        </is>
      </c>
      <c r="K6" s="6" t="inlineStr">
        <is>
          <t>DA VERIFICARE</t>
        </is>
      </c>
      <c r="L6" s="6" t="inlineStr"/>
      <c r="M6" s="6" t="inlineStr">
        <is>
          <t>Da definire in gap audit</t>
        </is>
      </c>
      <c r="N6" s="6" t="inlineStr"/>
    </row>
    <row r="7">
      <c r="A7" s="6" t="inlineStr">
        <is>
          <t>1.6</t>
        </is>
      </c>
      <c r="B7" s="6" t="inlineStr">
        <is>
          <t>Gestione sostenibile</t>
        </is>
      </c>
      <c r="C7" s="6" t="inlineStr">
        <is>
          <t>La struttura garantisce meccanismi accessibili di reclamo e di segnalazione, senza rischio di ritorsioni, per denunciare casi di sfruttamento, discriminazion e e molestie. (I)</t>
        </is>
      </c>
      <c r="D7" s="6" t="inlineStr">
        <is>
          <t>Imperativo</t>
        </is>
      </c>
      <c r="E7" s="6" t="inlineStr">
        <is>
          <t>Importante:
- Nuovo requisito (imperativo)</t>
        </is>
      </c>
      <c r="F7" s="6" t="inlineStr">
        <is>
          <t>Alto</t>
        </is>
      </c>
      <c r="G7" s="6" t="inlineStr">
        <is>
          <t>Rosita Paglialunga – HR</t>
        </is>
      </c>
      <c r="H7" s="6" t="inlineStr"/>
      <c r="I7" s="6" t="inlineStr">
        <is>
          <t>Verificare/creare procedura reclami/whistleblowing, canale riservato e comunicazione al personale.</t>
        </is>
      </c>
      <c r="J7" s="6" t="inlineStr">
        <is>
          <t>NO</t>
        </is>
      </c>
      <c r="K7" s="6" t="inlineStr">
        <is>
          <t>DA VERIFICARE</t>
        </is>
      </c>
      <c r="L7" s="6" t="inlineStr"/>
      <c r="M7" s="6" t="inlineStr">
        <is>
          <t>Da definire in gap audit</t>
        </is>
      </c>
      <c r="N7" s="6" t="inlineStr"/>
    </row>
    <row r="8">
      <c r="A8" s="6" t="inlineStr">
        <is>
          <t>1.7</t>
        </is>
      </c>
      <c r="B8" s="6" t="inlineStr">
        <is>
          <t>Gestione sostenibile</t>
        </is>
      </c>
      <c r="C8" s="6" t="inlineStr">
        <is>
          <t>La struttura ha implementato procedure per garantire un ambiente di lavoro sicuro e salubre. (I)</t>
        </is>
      </c>
      <c r="D8" s="6" t="inlineStr">
        <is>
          <t>Imperativo</t>
        </is>
      </c>
      <c r="E8" s="6" t="inlineStr">
        <is>
          <t>Importante:
- Nuovo requisito (imperativo)</t>
        </is>
      </c>
      <c r="F8" s="6" t="inlineStr">
        <is>
          <t>Medio/basso</t>
        </is>
      </c>
      <c r="G8" s="6" t="inlineStr">
        <is>
          <t>Rosita Paglialunga – HR</t>
        </is>
      </c>
      <c r="H8" s="6" t="inlineStr"/>
      <c r="I8" s="6" t="inlineStr">
        <is>
          <t>Verificare requisito, gap interno, implementazione e prova documentale.</t>
        </is>
      </c>
      <c r="J8" s="6" t="inlineStr">
        <is>
          <t>NO</t>
        </is>
      </c>
      <c r="K8" s="6" t="inlineStr">
        <is>
          <t>DA VERIFICARE</t>
        </is>
      </c>
      <c r="L8" s="6" t="inlineStr"/>
      <c r="M8" s="6" t="inlineStr">
        <is>
          <t>Da definire in gap audit</t>
        </is>
      </c>
      <c r="N8" s="6" t="inlineStr"/>
    </row>
    <row r="9">
      <c r="A9" s="6" t="inlineStr">
        <is>
          <t>1.8</t>
        </is>
      </c>
      <c r="B9" s="6" t="inlineStr">
        <is>
          <t>Gestione sostenibile</t>
        </is>
      </c>
      <c r="C9" s="6" t="inlineStr">
        <is>
          <t>La struttura coopera attivamente con un numero definito di stakeholder esterni su iniziative di sviluppo ambientale o sociale della comunità. (I)</t>
        </is>
      </c>
      <c r="D9" s="6" t="inlineStr">
        <is>
          <t>Imperativo</t>
        </is>
      </c>
      <c r="E9" s="6" t="inlineStr">
        <is>
          <t>Riorganizzazione:
- Modificato il numero del criterio
Modalità moderata:
- Passato da un focus "ambientale" a un focus più ampio su "educazione ambientale, patrimonio culturale locale e sviluppo sostenibile della destinazione".
- Aggiunto che per le strutture con ≥50 dipendenti, è necessario avere almeno 2 partnership attive con le parti interessate rilevanti. Le strutture con meno di 50 dipendenti dovranno avere almeno 1 partnership attiva con una parte interessata rilevante.
- Aggiunto che "Il supporto passivo, come le sole donazioni senza interazione, il solo acquisto di prodotti o la comunicazione unilaterale, non è considerato cooperazione attiva".
Modifica minore:
- Miglioramento della formulazione.
Modifiche all'audit:
- Aggiornato il processo di audit in modo che copra il contenuto del nuovo criterio: le strutture con ≥50 dipendenti devono presentare la prova di almeno 2 partnership attive. Le strutture con meno di 50 dipendenti devono presentare la prova di 1 partnership attiva (ad esempio, verbali di riunione, rapporti di attività, materiali sviluppati congiuntamente). Per i candidati che si rivolgono a noi per la prima volta, l'ente presenta i contratti di cooperazione e le azioni pianificate.</t>
        </is>
      </c>
      <c r="F9" s="6" t="inlineStr">
        <is>
          <t>medio</t>
        </is>
      </c>
      <c r="G9" s="6" t="inlineStr">
        <is>
          <t>Rosita Paglialunga – HR</t>
        </is>
      </c>
      <c r="H9" s="6" t="inlineStr"/>
      <c r="I9" s="6" t="inlineStr">
        <is>
          <t>Verificare requisito, gap interno, implementazione e prova documentale.</t>
        </is>
      </c>
      <c r="J9" s="6" t="inlineStr">
        <is>
          <t>NO</t>
        </is>
      </c>
      <c r="K9" s="6" t="inlineStr">
        <is>
          <t>DA VERIFICARE</t>
        </is>
      </c>
      <c r="L9" s="6" t="inlineStr"/>
      <c r="M9" s="6" t="inlineStr">
        <is>
          <t>Da definire in gap audit</t>
        </is>
      </c>
      <c r="N9" s="6" t="inlineStr"/>
    </row>
    <row r="10">
      <c r="A10" s="6" t="inlineStr">
        <is>
          <t>1.9</t>
        </is>
      </c>
      <c r="B10" s="6" t="inlineStr">
        <is>
          <t>Gestione sostenibile</t>
        </is>
      </c>
      <c r="C10" s="6" t="inlineStr">
        <is>
          <t>La struttura dimostra rispetto per i Popoli Indigeni nelle sue operazioni e rappresentazio ni. (I)</t>
        </is>
      </c>
      <c r="D10" s="6" t="inlineStr">
        <is>
          <t>Imperativo</t>
        </is>
      </c>
      <c r="E10" s="6" t="inlineStr">
        <is>
          <t>Importante:
- Nuovo requisito (imperativo)</t>
        </is>
      </c>
      <c r="F10" s="6" t="inlineStr">
        <is>
          <t>Alto</t>
        </is>
      </c>
      <c r="G10" s="6" t="inlineStr">
        <is>
          <t>Rosita Paglialunga – HR</t>
        </is>
      </c>
      <c r="H10" s="6" t="inlineStr"/>
      <c r="I10" s="6" t="inlineStr">
        <is>
          <t>Verificare requisito, gap interno, implementazione e prova documentale.</t>
        </is>
      </c>
      <c r="J10" s="6" t="inlineStr">
        <is>
          <t>NO</t>
        </is>
      </c>
      <c r="K10" s="6" t="inlineStr">
        <is>
          <t>DA VERIFICARE</t>
        </is>
      </c>
      <c r="L10" s="6" t="inlineStr"/>
      <c r="M10" s="6" t="inlineStr">
        <is>
          <t>Da definire in gap audit</t>
        </is>
      </c>
      <c r="N10" s="6" t="inlineStr"/>
    </row>
    <row r="11">
      <c r="A11" s="6" t="inlineStr">
        <is>
          <t>1.10</t>
        </is>
      </c>
      <c r="B11" s="6" t="inlineStr">
        <is>
          <t>Gestione sostenibile</t>
        </is>
      </c>
      <c r="C11" s="6" t="inlineStr">
        <is>
          <t>La struttura dispone di procedure incentrate sull'assunzione equa o sullo sviluppo equo, indipendentem ente da etnia, identità di genere, disabilità, età, orientamento sessuale, religione o estrazione socio- economica. (I/G)</t>
        </is>
      </c>
      <c r="D11" s="6" t="inlineStr">
        <is>
          <t>Da verificare</t>
        </is>
      </c>
      <c r="E11" s="6" t="inlineStr">
        <is>
          <t>Riorganizzazione:
- Spostato al punto 1. Gestione sostenibile
Modifiche importanti:
- Rafforzato da G a I per HH, CHP, CC e A. Aggiunto che questo requisito è obbligatorio per le aziende con più di 50 dipendenti. Per le aziende con meno di 50 dipendenti, questo criterio è da considerarsi una linea guida.
Modifiche moderate:
- Modificato il focus su "reclutamento equo o sviluppo equo indipendentemente da etnia, identità di genere, disabilità, età, religione o contesto socio-economico"
Modifiche minori:
Miglioramento della formulazione
Modifiche all'audit:
- Chiarito e aggiornato il processo di audit in modo che copra il contenuto del nuovo criterio e rafforzato il processo di audit: ora sono richiesti più documenti</t>
        </is>
      </c>
      <c r="F11" s="6" t="inlineStr">
        <is>
          <t>Basso</t>
        </is>
      </c>
      <c r="G11" s="6" t="inlineStr">
        <is>
          <t>Rosita Paglialunga – HR</t>
        </is>
      </c>
      <c r="H11" s="6" t="inlineStr"/>
      <c r="I11" s="6" t="inlineStr">
        <is>
          <t>Verificare requisito, gap interno, implementazione e prova documentale.</t>
        </is>
      </c>
      <c r="J11" s="6" t="inlineStr">
        <is>
          <t>NO</t>
        </is>
      </c>
      <c r="K11" s="6" t="inlineStr">
        <is>
          <t>DA VERIFICARE</t>
        </is>
      </c>
      <c r="L11" s="6" t="inlineStr"/>
      <c r="M11" s="6" t="inlineStr">
        <is>
          <t>Da definire in gap audit</t>
        </is>
      </c>
      <c r="N11" s="6" t="inlineStr"/>
    </row>
    <row r="12">
      <c r="A12" s="6" t="inlineStr">
        <is>
          <t>1.11</t>
        </is>
      </c>
      <c r="B12" s="6" t="inlineStr">
        <is>
          <t>Gestione sostenibile</t>
        </is>
      </c>
      <c r="C12" s="6" t="inlineStr">
        <is>
          <t>La struttura garantisce l’accesso alle persone con esigenze di accessibilità aggiuntive concentrandosi su almeno 1 categoria di accessibilità definita e implementand o le misure minime richieste. (I/G)</t>
        </is>
      </c>
      <c r="D12" s="6" t="inlineStr">
        <is>
          <t>Da verificare</t>
        </is>
      </c>
      <c r="E12" s="6" t="inlineStr">
        <is>
          <t>Riorganizzazione:
- Spostato al punto 1. Gestione sostenibile.
Modalità principale:
- Rafforzato da G a I per HH, CC, A
Modera:
- Aggiunto che la struttura garantisce l'accesso alle persone con esigenze di accessibilità aggiuntive. Riconoscendo che le strutture potrebbero non essere in grado di coprire tutti i tipi di disabilità, la struttura concentra i suoi miglioramenti in materia di accessibilità su almeno 1 categoria specifica di esigenze: mobilità fisica, disabilità visiva o disabilità cognitiva/uditiva.
- Aggiunti gli elementi minimi di accessibilità necessari per raggiungere la conformità quando ci si concentra sull'accessibilità fisica.
Modifica minore:
- Miglioramento della formulazione
Modifiche all'audit:
- Sono state fornite istruzioni più dettagliate su cosa deve essere incluso nell'audit (sensibilizzazione e formazione del personale sulle procedure di accessibilità; e disponibilità di informazioni sull'accessibilità sul sito web) e il processo di audit è stato rafforzato: ora sono obbligatori 4 controlli a campione (metodologia A).</t>
        </is>
      </c>
      <c r="F12" s="6" t="inlineStr">
        <is>
          <t>Basso</t>
        </is>
      </c>
      <c r="G12" s="6" t="inlineStr">
        <is>
          <t>Rosita Paglialunga – HR</t>
        </is>
      </c>
      <c r="H12" s="6" t="inlineStr"/>
      <c r="I12" s="6" t="inlineStr">
        <is>
          <t>Verificare requisito, gap interno, implementazione e prova documentale.</t>
        </is>
      </c>
      <c r="J12" s="6" t="inlineStr">
        <is>
          <t>NO</t>
        </is>
      </c>
      <c r="K12" s="6" t="inlineStr">
        <is>
          <t>DA VERIFICARE</t>
        </is>
      </c>
      <c r="L12" s="6" t="inlineStr"/>
      <c r="M12" s="6" t="inlineStr">
        <is>
          <t>Da definire in gap audit</t>
        </is>
      </c>
      <c r="N12" s="6" t="inlineStr"/>
    </row>
    <row r="13">
      <c r="A13" s="6" t="inlineStr">
        <is>
          <t>1.12</t>
        </is>
      </c>
      <c r="B13" s="6" t="inlineStr">
        <is>
          <t>Gestione sostenibile</t>
        </is>
      </c>
      <c r="C13" s="6" t="inlineStr">
        <is>
          <t>Piante e gli  animali, così come i reperti  storici e  archeologici,  sono venduti,  commercializzati o esposti  esclusivamente in conformità  con il diritto  internazionale.  (I)</t>
        </is>
      </c>
      <c r="D13" s="6" t="inlineStr">
        <is>
          <t>Imperativo</t>
        </is>
      </c>
      <c r="E13" s="6" t="inlineStr">
        <is>
          <t>Riorganizzazione:
- Spostato al punto 1. Gestione sostenibile
Modifiche minori:
- Modificato in modo da fare riferimento alla Lista Rossa delle Specie Minacciate dell'IUCN.
- Miglioramento della formulazione
Modifiche all'audit:
- Sono state fornite istruzioni più dettagliate sulla documentazione da includere nell'audit. Modificato in modo che durante l'ispezione visiva, l'auditor effettui campionamenti in almeno un'area pubblica (metodologia A).</t>
        </is>
      </c>
      <c r="F13" s="6" t="inlineStr">
        <is>
          <t>Basso</t>
        </is>
      </c>
      <c r="G13" s="6" t="inlineStr">
        <is>
          <t>Jonathan Pezzino – Green Key</t>
        </is>
      </c>
      <c r="H13" s="6" t="inlineStr"/>
      <c r="I13" s="6" t="inlineStr">
        <is>
          <t>Verificare requisito, gap interno, implementazione e prova documentale.</t>
        </is>
      </c>
      <c r="J13" s="6" t="inlineStr">
        <is>
          <t>NO</t>
        </is>
      </c>
      <c r="K13" s="6" t="inlineStr">
        <is>
          <t>DA VERIFICARE</t>
        </is>
      </c>
      <c r="L13" s="6" t="inlineStr"/>
      <c r="M13" s="6" t="inlineStr">
        <is>
          <t>Da definire in gap audit</t>
        </is>
      </c>
      <c r="N13" s="6" t="inlineStr"/>
    </row>
    <row r="14">
      <c r="A14" s="6" t="inlineStr">
        <is>
          <t>1.13</t>
        </is>
      </c>
      <c r="B14" s="6" t="inlineStr">
        <is>
          <t>Gestione sostenibile</t>
        </is>
      </c>
      <c r="C14" s="6" t="inlineStr">
        <is>
          <t>La struttura non offre, promuove o agevola intrattenimento, escursioni o attività che comportino lo sfruttamento o la sofferenza degli animali. (I)</t>
        </is>
      </c>
      <c r="D14" s="6" t="inlineStr">
        <is>
          <t>Imperativo</t>
        </is>
      </c>
      <c r="E14" s="6" t="inlineStr">
        <is>
          <t>Riorganizzazione:
- Spostato al punto 1. Gestione sostenibile
Molto importante:
- Rafforzato da G a I.
Modificato:
- Modificato in modo che la struttura non offra, promuova o agevoli attività di intrattenimento, escursioni o attività che comportino lo sfruttamento o la sofferenza degli animali. Ciò si applica sia alle attività svolte in loco sia a quelle di fornitori o attività esterne raccomandate, vendute/contrattuate o organizzate tramite la struttura.
- Aggiunto che gli animali domestici possono partecipare ad attività basate sul benessere, educative o culturalmente radicate (ad esempio, fattorie interattive, safari con husky, equitazione), sia che vengano offerte in loco sia che vengano promosse/agevolate esternamente. Gli animali presenti in loco sono sempre ospitati in condizioni conformi alle normative e agli standard sul benessere degli animali.
Modifica minore:
- Miglioramento della formulazione
Modifiche all'audit:
- Sono state fornite istruzioni più dettagliate su cosa deve essere incluso nell'audit e il processo di audit è stato rafforzato: ora è richiesta una dichiarazione scritta, una procedura operativa standard (SOP) o una politica aziendale.</t>
        </is>
      </c>
      <c r="F14" s="6" t="inlineStr">
        <is>
          <t>Alto</t>
        </is>
      </c>
      <c r="G14" s="6" t="inlineStr">
        <is>
          <t>Rosita Paglialunga – HR</t>
        </is>
      </c>
      <c r="H14" s="6" t="inlineStr"/>
      <c r="I14" s="6" t="inlineStr">
        <is>
          <t>Verificare requisito, gap interno, implementazione e prova documentale.</t>
        </is>
      </c>
      <c r="J14" s="6" t="inlineStr">
        <is>
          <t>NO</t>
        </is>
      </c>
      <c r="K14" s="6" t="inlineStr">
        <is>
          <t>DA VERIFICARE</t>
        </is>
      </c>
      <c r="L14" s="6" t="inlineStr"/>
      <c r="M14" s="6" t="inlineStr">
        <is>
          <t>Da definire in gap audit</t>
        </is>
      </c>
      <c r="N14" s="6" t="inlineStr"/>
    </row>
    <row r="15">
      <c r="A15" s="6" t="inlineStr">
        <is>
          <t>1.14</t>
        </is>
      </c>
      <c r="B15" s="6" t="inlineStr">
        <is>
          <t>Gestione sostenibile</t>
        </is>
      </c>
      <c r="C15" s="6" t="inlineStr">
        <is>
          <t>Le linee guida sul benessere degli animali vengono seguite quando la struttura detiene animali presso i propri  locali. (I)</t>
        </is>
      </c>
      <c r="D15" s="6" t="inlineStr">
        <is>
          <t>Imperativo</t>
        </is>
      </c>
      <c r="E15" s="6" t="inlineStr">
        <is>
          <t>Riorganizzazione:
- Spostato al punto 1. Gestione sostenibile
Molto importante:
- Rafforzato da G a I
Moderato:
- Aggiunto che la struttura deve essere pienamente conforme alla legislazione nazionale sul benessere degli animali e, come minimo, aderire al Modello dei Cinque Domini per il benessere degli animali, come definito nelle Linee guida globali sul benessere degli animali nel turismo dell'ABTA
Minore:
- Miglioramento della formulazione
Modifiche all'audit:
- Sono state fornite istruzioni più dettagliate su cosa deve essere incluso nell'audit e il processo di audit è stato rafforzato: ora è richiesta la documentazione delle valutazioni veterinarie annuali</t>
        </is>
      </c>
      <c r="F15" s="6" t="inlineStr">
        <is>
          <t>Alto</t>
        </is>
      </c>
      <c r="G15" s="6" t="inlineStr">
        <is>
          <t>Rosita Paglialunga – HR</t>
        </is>
      </c>
      <c r="H15" s="6" t="inlineStr"/>
      <c r="I15" s="6" t="inlineStr">
        <is>
          <t>Verificare requisito, gap interno, implementazione e prova documentale.</t>
        </is>
      </c>
      <c r="J15" s="6" t="inlineStr">
        <is>
          <t>NO</t>
        </is>
      </c>
      <c r="K15" s="6" t="inlineStr">
        <is>
          <t>DA VERIFICARE</t>
        </is>
      </c>
      <c r="L15" s="6" t="inlineStr"/>
      <c r="M15" s="6" t="inlineStr">
        <is>
          <t>Da definire in gap audit</t>
        </is>
      </c>
      <c r="N15" s="6" t="inlineStr"/>
    </row>
    <row r="16">
      <c r="A16" s="6" t="inlineStr">
        <is>
          <t>1.15</t>
        </is>
      </c>
      <c r="B16" s="6" t="inlineStr">
        <is>
          <t>Gestione sostenibile</t>
        </is>
      </c>
      <c r="C16" s="6" t="inlineStr">
        <is>
          <t>La struttura sviluppa e implementa un Codice di  Condotta Aziendale. (G)</t>
        </is>
      </c>
      <c r="D16" s="6" t="inlineStr">
        <is>
          <t>Guida</t>
        </is>
      </c>
      <c r="E16" s="6" t="inlineStr">
        <is>
          <t>Importante:
- Nuovo requisito (linea guida)</t>
        </is>
      </c>
      <c r="F16" s="6" t="inlineStr">
        <is>
          <t>medio</t>
        </is>
      </c>
      <c r="G16" s="6" t="inlineStr">
        <is>
          <t>Rosita Paglialunga – HR</t>
        </is>
      </c>
      <c r="H16" s="6" t="inlineStr"/>
      <c r="I16" s="6" t="inlineStr">
        <is>
          <t>Adottare Code of Conduct aziendale e registrare comunicazione/formazione.</t>
        </is>
      </c>
      <c r="J16" s="6" t="inlineStr">
        <is>
          <t>NO</t>
        </is>
      </c>
      <c r="K16" s="6" t="inlineStr">
        <is>
          <t>DA VERIFICARE</t>
        </is>
      </c>
      <c r="L16" s="6" t="inlineStr"/>
      <c r="M16" s="6" t="inlineStr">
        <is>
          <t>Da definire in gap audit</t>
        </is>
      </c>
      <c r="N16" s="6" t="inlineStr"/>
    </row>
    <row r="17">
      <c r="A17" s="6" t="inlineStr">
        <is>
          <t>1.16</t>
        </is>
      </c>
      <c r="B17" s="6" t="inlineStr">
        <is>
          <t>Gestione sostenibile</t>
        </is>
      </c>
      <c r="C17" s="6" t="inlineStr">
        <is>
          <t>La struttura  promuove  attivamente il benessere fisico e mentale dei dipendenti  attraverso  l’implementazione di almeno</t>
        </is>
      </c>
      <c r="D17" s="6" t="inlineStr">
        <is>
          <t>Da verificare</t>
        </is>
      </c>
      <c r="E17" s="6" t="inlineStr">
        <is>
          <t>Importante:
- Nuovo requisito (linea guida)</t>
        </is>
      </c>
      <c r="F17" s="6" t="inlineStr">
        <is>
          <t>Basso</t>
        </is>
      </c>
      <c r="G17" s="6" t="inlineStr">
        <is>
          <t>Rosita Paglialunga – HR</t>
        </is>
      </c>
      <c r="H17" s="6" t="inlineStr"/>
      <c r="I17" s="6" t="inlineStr">
        <is>
          <t>Programmare almeno un'iniziativa annuale di wellbeing del personale.</t>
        </is>
      </c>
      <c r="J17" s="6" t="inlineStr">
        <is>
          <t>NO</t>
        </is>
      </c>
      <c r="K17" s="6" t="inlineStr">
        <is>
          <t>DA VERIFICARE</t>
        </is>
      </c>
      <c r="L17" s="6" t="inlineStr"/>
      <c r="M17" s="6" t="inlineStr">
        <is>
          <t>Da definire in gap audit</t>
        </is>
      </c>
      <c r="N17" s="6" t="inlineStr"/>
    </row>
    <row r="18">
      <c r="A18" s="6" t="inlineStr">
        <is>
          <t>1.17</t>
        </is>
      </c>
      <c r="B18" s="6" t="inlineStr">
        <is>
          <t>Gestione sostenibile</t>
        </is>
      </c>
      <c r="C18" s="6" t="inlineStr">
        <is>
          <t>La struttura offre tirocini e opportunità di impiego part time o con modalità di lavoro flessibili a persone disoccupate di</t>
        </is>
      </c>
      <c r="D18" s="6" t="inlineStr">
        <is>
          <t>Da verificare</t>
        </is>
      </c>
      <c r="E18" s="6" t="inlineStr">
        <is>
          <t>Importante:
- Nuovo requisito (linea guida)</t>
        </is>
      </c>
      <c r="F18" s="6" t="inlineStr">
        <is>
          <t>medio</t>
        </is>
      </c>
      <c r="G18" s="6" t="inlineStr">
        <is>
          <t>Rosita Paglialunga – HR</t>
        </is>
      </c>
      <c r="H18" s="6" t="inlineStr"/>
      <c r="I18" s="6" t="inlineStr">
        <is>
          <t>Valutare e documentare opportunità di lavoro inclusivo/tirocini/flexible work.</t>
        </is>
      </c>
      <c r="J18" s="6" t="inlineStr">
        <is>
          <t>NO</t>
        </is>
      </c>
      <c r="K18" s="6" t="inlineStr">
        <is>
          <t>DA VERIFICARE</t>
        </is>
      </c>
      <c r="L18" s="6" t="inlineStr"/>
      <c r="M18" s="6" t="inlineStr">
        <is>
          <t>Da definire in gap audit</t>
        </is>
      </c>
      <c r="N18" s="6" t="inlineStr"/>
    </row>
    <row r="19">
      <c r="A19" s="6" t="inlineStr">
        <is>
          <t>1.18</t>
        </is>
      </c>
      <c r="B19" s="6" t="inlineStr">
        <is>
          <t>Gestione sostenibile</t>
        </is>
      </c>
      <c r="C19" s="6" t="inlineStr">
        <is>
          <t>La struttura garantisce l’accesso alle  persone con  esigenze di  accessibilità  aggiuntive  concentrandosi  su almeno 2</t>
        </is>
      </c>
      <c r="D19" s="6" t="inlineStr">
        <is>
          <t>Da verificare</t>
        </is>
      </c>
      <c r="E19" s="6" t="inlineStr">
        <is>
          <t>Importante:
- Nuovo requisito (linea guida)</t>
        </is>
      </c>
      <c r="F19" s="6" t="inlineStr">
        <is>
          <t>n / a</t>
        </is>
      </c>
      <c r="G19" s="6" t="inlineStr">
        <is>
          <t>Rosita Paglialunga – HR</t>
        </is>
      </c>
      <c r="H19" s="6" t="inlineStr"/>
      <c r="I19" s="6" t="inlineStr">
        <is>
          <t>Gap assessment accessibilità + piano su almeno una categoria specifica; verificare website disclosure.</t>
        </is>
      </c>
      <c r="J19" s="6" t="inlineStr">
        <is>
          <t>NO</t>
        </is>
      </c>
      <c r="K19" s="6" t="inlineStr">
        <is>
          <t>DA VERIFICARE</t>
        </is>
      </c>
      <c r="L19" s="6" t="inlineStr"/>
      <c r="M19" s="6" t="inlineStr">
        <is>
          <t>Da definire in gap audit</t>
        </is>
      </c>
      <c r="N19" s="6" t="inlineStr"/>
    </row>
    <row r="20">
      <c r="A20" s="6" t="inlineStr">
        <is>
          <t>1.19</t>
        </is>
      </c>
      <c r="B20" s="6" t="inlineStr">
        <is>
          <t>Gestione sostenibile</t>
        </is>
      </c>
      <c r="C20" s="6" t="inlineStr">
        <is>
          <t>La struttura  offre a microimprese o piccoli  imprenditori  locali  l’opportunità  di vendere  prodotti  sostenibili,  basati sulle</t>
        </is>
      </c>
      <c r="D20" s="6" t="inlineStr">
        <is>
          <t>Da verificare</t>
        </is>
      </c>
      <c r="E20" s="6" t="inlineStr">
        <is>
          <t>Riorganizzazione:
- Spostato al capitolo 1. Gestione sostenibile
Modifiche minori:
- Aggiunti i "microimprenditori" al criterio
- Formulazione migliorata
Modifiche all'audit:
- Formulazione dell'audit aggiornata, ma non sono state apportate modifiche sostanziali al processo di audit.</t>
        </is>
      </c>
      <c r="F20" s="6" t="inlineStr">
        <is>
          <t>Basso</t>
        </is>
      </c>
      <c r="G20" s="6" t="inlineStr">
        <is>
          <t>Rosita Paglialunga – HR</t>
        </is>
      </c>
      <c r="H20" s="6" t="inlineStr"/>
      <c r="I20" s="6" t="inlineStr">
        <is>
          <t>Verificare requisito, gap interno, implementazione e prova documentale.</t>
        </is>
      </c>
      <c r="J20" s="6" t="inlineStr">
        <is>
          <t>NO</t>
        </is>
      </c>
      <c r="K20" s="6" t="inlineStr">
        <is>
          <t>DA VERIFICARE</t>
        </is>
      </c>
      <c r="L20" s="6" t="inlineStr"/>
      <c r="M20" s="6" t="inlineStr">
        <is>
          <t>Da definire in gap audit</t>
        </is>
      </c>
      <c r="N20" s="6" t="inlineStr"/>
    </row>
    <row r="21">
      <c r="A21" s="6" t="inlineStr">
        <is>
          <t>1.20</t>
        </is>
      </c>
      <c r="B21" s="6" t="inlineStr">
        <is>
          <t>Gestione sostenibile</t>
        </is>
      </c>
      <c r="C21" s="6" t="inlineStr">
        <is>
          <t>La direzione  informa il personale almeno 2 volte all'anno sulle  iniziative di sostenibilità della struttura. (I)</t>
        </is>
      </c>
      <c r="D21" s="6" t="inlineStr">
        <is>
          <t>Imperativo</t>
        </is>
      </c>
      <c r="E21" s="6" t="inlineStr">
        <is>
          <t>Riorganizzazione:
- Spostato al punto 1. Gestione sostenibile
- Fusione dei vecchi punti 2.1 e 2.2
Modalità moderata:
- Modificato da "almeno 1-3 riunioni annuali" a "almeno 2 volte all'anno".
Modalità minore:
- Miglioramento della formulazione
Modifiche all'audit:
- Chiarimento e aggiornamento del processo di audit in modo che copra il contenuto del nuovo criterio, sono state fornite istruzioni più dettagliate su cosa includere nell'audit ed è stato rafforzato il processo di audit (almeno un colloquio con il personale è ora obbligatorio)</t>
        </is>
      </c>
      <c r="F21" s="6" t="inlineStr">
        <is>
          <t>medio</t>
        </is>
      </c>
      <c r="G21" s="6" t="inlineStr">
        <is>
          <t>Alessandra Ferrara – Operations / Maintenance</t>
        </is>
      </c>
      <c r="H21" s="6" t="inlineStr"/>
      <c r="I21" s="6" t="inlineStr">
        <is>
          <t>Verificare requisito, gap interno, implementazione e prova documentale.</t>
        </is>
      </c>
      <c r="J21" s="6" t="inlineStr">
        <is>
          <t>NO</t>
        </is>
      </c>
      <c r="K21" s="6" t="inlineStr">
        <is>
          <t>DA VERIFICARE</t>
        </is>
      </c>
      <c r="L21" s="6" t="inlineStr"/>
      <c r="M21" s="6" t="inlineStr">
        <is>
          <t>Da definire in gap audit</t>
        </is>
      </c>
      <c r="N21" s="6" t="inlineStr"/>
    </row>
    <row r="22">
      <c r="A22" s="6" t="inlineStr">
        <is>
          <t>1.21</t>
        </is>
      </c>
      <c r="B22" s="6" t="inlineStr">
        <is>
          <t>Gestione sostenibile</t>
        </is>
      </c>
      <c r="C22" s="6" t="inlineStr">
        <is>
          <t>Al personale viene fornita una formazione annuale sulla sostenibilità. (I)</t>
        </is>
      </c>
      <c r="D22" s="6" t="inlineStr">
        <is>
          <t>Imperativo</t>
        </is>
      </c>
      <c r="E22" s="6" t="inlineStr">
        <is>
          <t>Riorganizzazione:
- Spostato al punto 1. Gestione sostenibile
Modalità moderata:
- Modificato da "1-3 sessioni di formazione annuali" a:Hotel, Ostelli (HH), Campeggi e Villaggi Turistici (CHP), forniscono 1 formazione generale sulla sostenibilità  all'anno per il personale a tempo indeterminato e almeno 1 formazione dipartimentale o specifica per ruolo (ad es. piani/housekeeping, cucina, ecc.) all'anno.
Piccole Strutture Ricettive (SA), Ristoranti/Bar (R), Attrazioni (A), Centri Congressi (CC) e le strutture stagionali forniscono almeno 1 formazione sulla sostenibilità all'anno per il personale.
Modifiche minori:
- Miglioramento della formulazione
Modifiche all'audit:
- Chiarimento e aggiornamento del processo di audit in modo che copra il contenuto del nuovo criterio, sono state fornite istruzioni più dettagliate su cosa includere nell'audit ed è stato rafforzato il processo di audit (almeno un colloquio con il personale è ora obbligatorio)</t>
        </is>
      </c>
      <c r="F22" s="6" t="inlineStr">
        <is>
          <t>Medio/basso</t>
        </is>
      </c>
      <c r="G22" s="6" t="inlineStr">
        <is>
          <t>Rosita Paglialunga – HR</t>
        </is>
      </c>
      <c r="H22" s="6" t="inlineStr"/>
      <c r="I22" s="6" t="inlineStr">
        <is>
          <t>Verificare requisito, gap interno, implementazione e prova documentale.</t>
        </is>
      </c>
      <c r="J22" s="6" t="inlineStr">
        <is>
          <t>NO</t>
        </is>
      </c>
      <c r="K22" s="6" t="inlineStr">
        <is>
          <t>DA VERIFICARE</t>
        </is>
      </c>
      <c r="L22" s="6" t="inlineStr"/>
      <c r="M22" s="6" t="inlineStr">
        <is>
          <t>Da definire in gap audit</t>
        </is>
      </c>
      <c r="N22" s="6" t="inlineStr"/>
    </row>
    <row r="23">
      <c r="A23" s="6" t="inlineStr">
        <is>
          <t>1.22</t>
        </is>
      </c>
      <c r="B23" s="6" t="inlineStr">
        <is>
          <t>Gestione sostenibile</t>
        </is>
      </c>
      <c r="C23" s="6" t="inlineStr">
        <is>
          <t>Il servizio di  pulizia  (housekeeping) conosce e attua  le procedure relative al  cambio di asciugamani e lenzuola. (I)</t>
        </is>
      </c>
      <c r="D23" s="6" t="inlineStr">
        <is>
          <t>Imperativo</t>
        </is>
      </c>
      <c r="E23" s="6" t="inlineStr">
        <is>
          <t>Riorganizzazione:
- Spostato al punto 1. Gestione sostenibile
Modifiche minori:
- Miglioramento della formulazione
Modifiche all'audit:
- Modificata la procedura di audit (ora è obbligatorio almeno un colloquio con il personale addetto alle pulizie)</t>
        </is>
      </c>
      <c r="F23" s="6" t="inlineStr">
        <is>
          <t>Medio/basso</t>
        </is>
      </c>
      <c r="G23" s="6" t="inlineStr">
        <is>
          <t>Alessandra Ferrara – Operations / Maintenance</t>
        </is>
      </c>
      <c r="H23" s="6" t="inlineStr"/>
      <c r="I23" s="6" t="inlineStr">
        <is>
          <t>Verificare requisito, gap interno, implementazione e prova documentale.</t>
        </is>
      </c>
      <c r="J23" s="6" t="inlineStr">
        <is>
          <t>NO</t>
        </is>
      </c>
      <c r="K23" s="6" t="inlineStr">
        <is>
          <t>DA VERIFICARE</t>
        </is>
      </c>
      <c r="L23" s="6" t="inlineStr"/>
      <c r="M23" s="6" t="inlineStr">
        <is>
          <t>Da definire in gap audit</t>
        </is>
      </c>
      <c r="N23" s="6" t="inlineStr"/>
    </row>
    <row r="24">
      <c r="A24" s="6" t="inlineStr">
        <is>
          <t>1.23</t>
        </is>
      </c>
      <c r="B24" s="6" t="inlineStr">
        <is>
          <t>Gestione sostenibile</t>
        </is>
      </c>
      <c r="C24" s="6" t="inlineStr">
        <is>
          <t>Materiale informativo ed educativo è  esposto nelle aree riservate allo staff per promuovere comportamenti responsabili. (I)</t>
        </is>
      </c>
      <c r="D24" s="6" t="inlineStr">
        <is>
          <t>Imperativo</t>
        </is>
      </c>
      <c r="E24" s="6" t="inlineStr">
        <is>
          <t>Riorganizzazione:
- Spostato al punto 1. Gestione sostenibile
Modifiche minori:
- Aggiunta la dicitura "il materiale è mantenuto aggiornato"
- Miglioramento della formulazione
Modifiche all'audit:
- Aggiornata la formulazione relativa all'audit, ma non sono state apportate modifiche sostanziali al processo di audit.</t>
        </is>
      </c>
      <c r="F24" s="6" t="inlineStr">
        <is>
          <t>Basso</t>
        </is>
      </c>
      <c r="G24" s="6" t="inlineStr">
        <is>
          <t>Rosita Paglialunga – HR</t>
        </is>
      </c>
      <c r="H24" s="6" t="inlineStr"/>
      <c r="I24" s="6" t="inlineStr">
        <is>
          <t>Verificare requisito, gap interno, implementazione e prova documentale.</t>
        </is>
      </c>
      <c r="J24" s="6" t="inlineStr">
        <is>
          <t>NO</t>
        </is>
      </c>
      <c r="K24" s="6" t="inlineStr">
        <is>
          <t>DA VERIFICARE</t>
        </is>
      </c>
      <c r="L24" s="6" t="inlineStr"/>
      <c r="M24" s="6" t="inlineStr">
        <is>
          <t>Da definire in gap audit</t>
        </is>
      </c>
      <c r="N24" s="6" t="inlineStr"/>
    </row>
    <row r="25">
      <c r="A25" s="6" t="inlineStr">
        <is>
          <t>1.24</t>
        </is>
      </c>
      <c r="B25" s="6" t="inlineStr">
        <is>
          <t>Gestione sostenibile</t>
        </is>
      </c>
      <c r="C25" s="6" t="inlineStr">
        <is>
          <t>La struttura offre al personale l'opportunità di  valutare annualmente le proprie prestazioni ambientali e sociali e dispone di una procedura per  rispondere a questo feedback. (G)</t>
        </is>
      </c>
      <c r="D25" s="6" t="inlineStr">
        <is>
          <t>Guida</t>
        </is>
      </c>
      <c r="E25" s="6" t="inlineStr">
        <is>
          <t>Riorganizzazione:
- Spostato al punto 1. Gestione sostenibile
Moderato:
- Aggiunto al criterio che La struttura  "implementa un processo di feedback".
Aggiunto che "Il processo non solo raccoglie suggerimenti, ma monitora anche le tendenze nelle percezioni e nella soddisfazione del personale riguardo alla sostenibilità e all'impegno della direzione. I risultati vengono condivisi con il personale, e le risposte ai feedback vengono formulate e comunicate entro 2 mesi."
Minore:
- Miglioramento della formulazione
Modifiche all'audit:
- Chiarito e aggiornato il processo di audit in modo che copra il contenuto del nuovo criterio, fornite istruzioni più dettagliate sulla documentazione da includere nell'audit e rafforzato il processo di audit (almeno un colloquio con il personale è ora obbligatorio).</t>
        </is>
      </c>
      <c r="F25" s="6" t="inlineStr">
        <is>
          <t>medio</t>
        </is>
      </c>
      <c r="G25" s="6" t="inlineStr">
        <is>
          <t>Rosita Paglialunga – HR</t>
        </is>
      </c>
      <c r="H25" s="6" t="inlineStr"/>
      <c r="I25" s="6" t="inlineStr">
        <is>
          <t>Verificare requisito, gap interno, implementazione e prova documentale.</t>
        </is>
      </c>
      <c r="J25" s="6" t="inlineStr">
        <is>
          <t>NO</t>
        </is>
      </c>
      <c r="K25" s="6" t="inlineStr">
        <is>
          <t>DA VERIFICARE</t>
        </is>
      </c>
      <c r="L25" s="6" t="inlineStr"/>
      <c r="M25" s="6" t="inlineStr">
        <is>
          <t>Da definire in gap audit</t>
        </is>
      </c>
      <c r="N25" s="6" t="inlineStr"/>
    </row>
    <row r="26">
      <c r="A26" s="6" t="inlineStr">
        <is>
          <t>2.1</t>
        </is>
      </c>
      <c r="B26" s="6" t="inlineStr">
        <is>
          <t>Ospiti</t>
        </is>
      </c>
      <c r="C26" s="6" t="inlineStr">
        <is>
          <t>Il certificato Green Key e le informazioni  sul programma  sono esposti in  un'area altamente visibile e frequentata. (I)</t>
        </is>
      </c>
      <c r="D26" s="6" t="inlineStr">
        <is>
          <t>Imperativo</t>
        </is>
      </c>
      <c r="E26" s="6" t="inlineStr">
        <is>
          <t>Riorganizzazione:
- Modifica dell'ordine dei capitoli (da 3 a 2)
- Fusione dei vecchi punti 3.1 e 3.2
Modalità moderata:
- A seguito della fusione, il nuovo requisito ora include "Il certificato Green Key e le informazioni sul programma"
Modalità minore:
- Miglioramento della formulazione
Modifiche all'audit:
- Chiarimento e aggiornamento del processo di audit in modo che copra il contenuto del nuovo criterio, e sono state fornite istruzioni più dettagliate su cosa includere nell'audit</t>
        </is>
      </c>
      <c r="F26" s="6" t="inlineStr">
        <is>
          <t>Basso</t>
        </is>
      </c>
      <c r="G26" s="6" t="inlineStr">
        <is>
          <t>Alessandra Ferrara – Operations</t>
        </is>
      </c>
      <c r="H26" s="6" t="inlineStr"/>
      <c r="I26" s="6" t="inlineStr">
        <is>
          <t>Aggiornare guest journey: informazioni Green Key, feedback, turismo responsabile e mobilità sostenibile.</t>
        </is>
      </c>
      <c r="J26" s="6" t="inlineStr">
        <is>
          <t>NO</t>
        </is>
      </c>
      <c r="K26" s="6" t="inlineStr">
        <is>
          <t>DA VERIFICARE</t>
        </is>
      </c>
      <c r="L26" s="6" t="inlineStr"/>
      <c r="M26" s="6" t="inlineStr">
        <is>
          <t>Da definire in gap audit</t>
        </is>
      </c>
      <c r="N26" s="6" t="inlineStr"/>
    </row>
    <row r="27">
      <c r="A27" s="6" t="inlineStr">
        <is>
          <t>2.2</t>
        </is>
      </c>
      <c r="B27" s="6" t="inlineStr">
        <is>
          <t>Ospiti</t>
        </is>
      </c>
      <c r="C27" s="6" t="inlineStr">
        <is>
          <t>Le informazioni su Green Key sono disponibili sul sito web della struttura. (I)</t>
        </is>
      </c>
      <c r="D27" s="6" t="inlineStr">
        <is>
          <t>Imperativo</t>
        </is>
      </c>
      <c r="E27" s="6" t="inlineStr">
        <is>
          <t>Riorganizzazione:
- Modificato l'ordine dei capitoli (da 3 a 2)
Modifiche minori:
- Eliminato il requisito che le "informazioni ambientali" debbano essere disponibili sul sito web dell'azienda
- Miglioramento della formulazione
Modifiche all'audit:
- Aggiornata la formulazione dell'audit in modo che includa il contenuto del nuovo criterio, ma non sono state apportate modifiche sostanziali al processo di audit.</t>
        </is>
      </c>
      <c r="F27" s="6" t="inlineStr">
        <is>
          <t>Basso</t>
        </is>
      </c>
      <c r="G27" s="6" t="inlineStr">
        <is>
          <t>Alessandra Ferrara – Operations</t>
        </is>
      </c>
      <c r="H27" s="6" t="inlineStr"/>
      <c r="I27" s="6" t="inlineStr">
        <is>
          <t>Aggiornare guest journey: informazioni Green Key, feedback, turismo responsabile e mobilità sostenibile.</t>
        </is>
      </c>
      <c r="J27" s="6" t="inlineStr">
        <is>
          <t>NO</t>
        </is>
      </c>
      <c r="K27" s="6" t="inlineStr">
        <is>
          <t>DA VERIFICARE</t>
        </is>
      </c>
      <c r="L27" s="6" t="inlineStr"/>
      <c r="M27" s="6" t="inlineStr">
        <is>
          <t>Da definire in gap audit</t>
        </is>
      </c>
      <c r="N27" s="6" t="inlineStr"/>
    </row>
    <row r="28">
      <c r="A28" s="6" t="inlineStr">
        <is>
          <t>2.3</t>
        </is>
      </c>
      <c r="B28" s="6" t="inlineStr">
        <is>
          <t>Ospiti</t>
        </is>
      </c>
      <c r="C28" s="6" t="inlineStr">
        <is>
          <t>La struttura tiene informati gli ospiti sulle sue iniziative di sostenibilità e ne incoraggia attivamente la partecipazione. (I)</t>
        </is>
      </c>
      <c r="D28" s="6" t="inlineStr">
        <is>
          <t>Imperativo</t>
        </is>
      </c>
      <c r="E28" s="6" t="inlineStr">
        <is>
          <t>Riorganizzazione:
- Modificato l'ordine dei capitoli (da 3 a 2)
Modifiche minori:
- Il nuovo titolo chiarisce che il criterio riguarda le "iniziative di sostenibilità" (e non solo le "attività ambientali").
- Miglioramento della formulazione
Modifiche all'audit:
- Aggiornata la formulazione dell'audit in modo che copra il contenuto del nuovo criterio, ma non sono state apportate modifiche sostanziali al processo di audit.</t>
        </is>
      </c>
      <c r="F28" s="6" t="inlineStr">
        <is>
          <t>Basso</t>
        </is>
      </c>
      <c r="G28" s="6" t="inlineStr">
        <is>
          <t>Alessandra Ferrara – Operations</t>
        </is>
      </c>
      <c r="H28" s="6" t="inlineStr"/>
      <c r="I28" s="6" t="inlineStr">
        <is>
          <t>Aggiornare guest journey: informazioni Green Key, feedback, turismo responsabile e mobilità sostenibile.</t>
        </is>
      </c>
      <c r="J28" s="6" t="inlineStr">
        <is>
          <t>NO</t>
        </is>
      </c>
      <c r="K28" s="6" t="inlineStr">
        <is>
          <t>DA VERIFICARE</t>
        </is>
      </c>
      <c r="L28" s="6" t="inlineStr"/>
      <c r="M28" s="6" t="inlineStr">
        <is>
          <t>Da definire in gap audit</t>
        </is>
      </c>
      <c r="N28" s="6" t="inlineStr"/>
    </row>
    <row r="29">
      <c r="A29" s="6" t="inlineStr">
        <is>
          <t>2.4</t>
        </is>
      </c>
      <c r="B29" s="6" t="inlineStr">
        <is>
          <t>Ospiti</t>
        </is>
      </c>
      <c r="C29" s="6" t="inlineStr">
        <is>
          <t>Il personale a  contatto con gli ospiti è in grado di informarli su Green Key e sulle attuali iniziative di sostenibilità della struttura.  (I)</t>
        </is>
      </c>
      <c r="D29" s="6" t="inlineStr">
        <is>
          <t>Imperativo</t>
        </is>
      </c>
      <c r="E29" s="6" t="inlineStr">
        <is>
          <t>Riorganizzazione:
- Modificato l'ordine dei capitoli (da 3 a 2)
Modalità moderata:
- Modificato da "iniziative ambientali/di sostenibilità" a "iniziative di sostenibilità"
- Aggiunto che il personale deve essere preparato a comunicare "come gli ospiti possono contribuire a queste iniziative durante il loro soggiorno"
Modalità minore:
- Miglioramento della formulazione
Modifiche all'audit:
- Aggiornata la formulazione dell'audit e modificata in modo che l'intervista debba essere condotta con un membro selezionato del personale a contatto con gli ospiti. A parte questo, non sono state apportate modifiche sostanziali al processo di audit.</t>
        </is>
      </c>
      <c r="F29" s="6" t="inlineStr">
        <is>
          <t>Basso</t>
        </is>
      </c>
      <c r="G29" s="6" t="inlineStr">
        <is>
          <t>Alessandra Ferrara – Operations</t>
        </is>
      </c>
      <c r="H29" s="6" t="inlineStr"/>
      <c r="I29" s="6" t="inlineStr">
        <is>
          <t>Aggiornare guest journey: informazioni Green Key, feedback, turismo responsabile e mobilità sostenibile.</t>
        </is>
      </c>
      <c r="J29" s="6" t="inlineStr">
        <is>
          <t>NO</t>
        </is>
      </c>
      <c r="K29" s="6" t="inlineStr">
        <is>
          <t>DA VERIFICARE</t>
        </is>
      </c>
      <c r="L29" s="6" t="inlineStr"/>
      <c r="M29" s="6" t="inlineStr">
        <is>
          <t>Da definire in gap audit</t>
        </is>
      </c>
      <c r="N29" s="6" t="inlineStr"/>
    </row>
    <row r="30">
      <c r="A30" s="6" t="inlineStr">
        <is>
          <t>2.5</t>
        </is>
      </c>
      <c r="B30" s="6" t="inlineStr">
        <is>
          <t>Ospiti</t>
        </is>
      </c>
      <c r="C30" s="6" t="inlineStr">
        <is>
          <t>La struttura  informa e incoraggia gli  ospiti a La struttura informa e incoraggia gli ospiti a utilizzare alternative di</t>
        </is>
      </c>
      <c r="D30" s="6" t="inlineStr">
        <is>
          <t>Da verificare</t>
        </is>
      </c>
      <c r="E30" s="6" t="inlineStr">
        <is>
          <t>Riorganizzazione:
- Modificato l'ordine dei capitoli (da 3 a 2)
Modalità moderata:
- Aggiunto Le informazioni sono disponibili sul  sito web della struttura e/o nell'e-mail di benvenuto, dove vengono indicati l'indirizzo e le modalità di trasporto per raggiungere la struttura. Le informazioni possono anche essere incluse nei materiali accessibili agli ospiti presso la reception, nelle cartelle informative in camera o su schermi digitali/codici QR. La validità delle informazioni viene verificata almeno 2 volte all'anno per garantirne l'aggiornamento. 
Modalità minore:
- Miglioramento della formulazione
Modifiche all'audit:
- Aggiornato il processo di audit per includere il contenuto del nuovo requisito, ma non sono state apportate modifiche sostanziali al processo di audit stesso.</t>
        </is>
      </c>
      <c r="F30" s="6" t="inlineStr">
        <is>
          <t>Medio/basso</t>
        </is>
      </c>
      <c r="G30" s="6" t="inlineStr">
        <is>
          <t>Alessandra Ferrara – Operations</t>
        </is>
      </c>
      <c r="H30" s="6" t="inlineStr"/>
      <c r="I30" s="6" t="inlineStr">
        <is>
          <t>Aggiornare guest journey: informazioni Green Key, feedback, turismo responsabile e mobilità sostenibile.</t>
        </is>
      </c>
      <c r="J30" s="6" t="inlineStr">
        <is>
          <t>NO</t>
        </is>
      </c>
      <c r="K30" s="6" t="inlineStr">
        <is>
          <t>DA VERIFICARE</t>
        </is>
      </c>
      <c r="L30" s="6" t="inlineStr"/>
      <c r="M30" s="6" t="inlineStr">
        <is>
          <t>Da definire in gap audit</t>
        </is>
      </c>
      <c r="N30" s="6" t="inlineStr"/>
    </row>
    <row r="31">
      <c r="A31" s="6" t="inlineStr">
        <is>
          <t>2.6</t>
        </is>
      </c>
      <c r="B31" s="6" t="inlineStr">
        <is>
          <t>Ospiti</t>
        </is>
      </c>
      <c r="C31" s="6" t="inlineStr">
        <is>
          <t>La struttura offre ai propri ospiti l'opportunità di valutare le sue prestazioni in materia di sostenibilità. (G)</t>
        </is>
      </c>
      <c r="D31" s="6" t="inlineStr">
        <is>
          <t>Guida</t>
        </is>
      </c>
      <c r="E31" s="6" t="inlineStr">
        <is>
          <t>Riorganizzazione:
- Modificato l'ordine dei capitoli (da 3 a 2)
Modalità principale:
- Non più applicabile per il Sudafrica
Modalità moderata:
- Modificata la dicitura da "prestazioni, comprese le prestazioni di sostenibilità" a focalizzata esclusivamente sulle "prestazioni di sostenibilità"
Modalità minore:
- Miglioramento della formulazione
Modifiche all'audit:
- Chiarito e aggiornato il processo di audit in modo che copra il contenuto del nuovo criterio, e sono state fornite informazioni più dettagliate sulla documentazione da includere nell'audit. Aggiunto che, per i richiedenti per la prima volta, la struttura deve presentare un piano scritto che descriva come verranno raccolti, analizzati e utilizzati i feedback degli ospiti.</t>
        </is>
      </c>
      <c r="F31" s="6" t="inlineStr">
        <is>
          <t>Medio/basso</t>
        </is>
      </c>
      <c r="G31" s="6" t="inlineStr">
        <is>
          <t>Alessandra Ferrara – Operations</t>
        </is>
      </c>
      <c r="H31" s="6" t="inlineStr"/>
      <c r="I31" s="6" t="inlineStr">
        <is>
          <t>Aggiornare guest journey: informazioni Green Key, feedback, turismo responsabile e mobilità sostenibile.</t>
        </is>
      </c>
      <c r="J31" s="6" t="inlineStr">
        <is>
          <t>NO</t>
        </is>
      </c>
      <c r="K31" s="6" t="inlineStr">
        <is>
          <t>DA VERIFICARE</t>
        </is>
      </c>
      <c r="L31" s="6" t="inlineStr"/>
      <c r="M31" s="6" t="inlineStr">
        <is>
          <t>Da definire in gap audit</t>
        </is>
      </c>
      <c r="N31" s="6" t="inlineStr"/>
    </row>
    <row r="32">
      <c r="A32" s="6" t="inlineStr">
        <is>
          <t>2.7</t>
        </is>
      </c>
      <c r="B32" s="6" t="inlineStr">
        <is>
          <t>Ospiti</t>
        </is>
      </c>
      <c r="C32" s="6" t="inlineStr">
        <is>
          <t>La struttura comunica attivamente le proprie pratiche di sostenibilità e partecipa alle attività Green Key sui media digitali. (G)</t>
        </is>
      </c>
      <c r="D32" s="6" t="inlineStr">
        <is>
          <t>Guida</t>
        </is>
      </c>
      <c r="E32" s="6" t="inlineStr">
        <is>
          <t>Importante:
- Nuovo requisito (linea guida)</t>
        </is>
      </c>
      <c r="F32" s="6" t="inlineStr">
        <is>
          <t>medio</t>
        </is>
      </c>
      <c r="G32" s="6" t="inlineStr">
        <is>
          <t>Alessandra Ferrara – Operations</t>
        </is>
      </c>
      <c r="H32" s="6" t="inlineStr"/>
      <c r="I32" s="6" t="inlineStr">
        <is>
          <t>Aggiornare guest journey: informazioni Green Key, feedback, turismo responsabile e mobilità sostenibile.</t>
        </is>
      </c>
      <c r="J32" s="6" t="inlineStr">
        <is>
          <t>NO</t>
        </is>
      </c>
      <c r="K32" s="6" t="inlineStr">
        <is>
          <t>DA VERIFICARE</t>
        </is>
      </c>
      <c r="L32" s="6" t="inlineStr"/>
      <c r="M32" s="6" t="inlineStr">
        <is>
          <t>Da definire in gap audit</t>
        </is>
      </c>
      <c r="N32" s="6" t="inlineStr"/>
    </row>
    <row r="33">
      <c r="A33" s="6" t="inlineStr">
        <is>
          <t>2.8</t>
        </is>
      </c>
      <c r="B33" s="6" t="inlineStr">
        <is>
          <t>Ospiti</t>
        </is>
      </c>
      <c r="C33" s="6" t="inlineStr">
        <is>
          <t>Sono disponibili agli ospiti informazioni sui parchi naturali vicini, sulle spiagge e su altre aree naturali ecologicamente sensibili.(I/G)</t>
        </is>
      </c>
      <c r="D33" s="6" t="inlineStr">
        <is>
          <t>Da verificare</t>
        </is>
      </c>
      <c r="E33" s="6" t="inlineStr">
        <is>
          <t>Riorganizzazione:
- Spostato al punto 2. Consapevolezza e coinvolgimento degli ospiti
Moderato:
- Ammorbidito da I a G per CC e R
- Aggiunto adattamento nazionale: nei Paesi Bassi, questo criterio è obbligatorio per tutte le categorie di strutture.
Minore:
- Modificato in "parchi, spiagge e altre aree naturali ecologicamente sensibili".
- Miglioramento della formulazione
Modifiche all'audit:
- Aggiornato il processo di audit in modo che ora includa parchi, spiagge e altre aree naturali ecologicamente sensibili, ma non sono state apportate altre modifiche al processo di audit.</t>
        </is>
      </c>
      <c r="F33" s="6" t="inlineStr">
        <is>
          <t>Basso</t>
        </is>
      </c>
      <c r="G33" s="6" t="inlineStr">
        <is>
          <t>Alessandra Ferrara – Operations</t>
        </is>
      </c>
      <c r="H33" s="6" t="inlineStr"/>
      <c r="I33" s="6" t="inlineStr">
        <is>
          <t>Aggiornare guest journey: informazioni Green Key, feedback, turismo responsabile e mobilità sostenibile.</t>
        </is>
      </c>
      <c r="J33" s="6" t="inlineStr">
        <is>
          <t>NO</t>
        </is>
      </c>
      <c r="K33" s="6" t="inlineStr">
        <is>
          <t>DA VERIFICARE</t>
        </is>
      </c>
      <c r="L33" s="6" t="inlineStr"/>
      <c r="M33" s="6" t="inlineStr">
        <is>
          <t>Da definire in gap audit</t>
        </is>
      </c>
      <c r="N33" s="6" t="inlineStr"/>
    </row>
    <row r="34">
      <c r="A34" s="6" t="inlineStr">
        <is>
          <t>2.9</t>
        </is>
      </c>
      <c r="B34" s="6" t="inlineStr">
        <is>
          <t>Ospiti</t>
        </is>
      </c>
      <c r="C34" s="6" t="inlineStr">
        <is>
          <t>Agli ospiti vengono fornite informazioni che promuovono un comportamento turistico responsabile nella destinazione. (I/G)</t>
        </is>
      </c>
      <c r="D34" s="6" t="inlineStr">
        <is>
          <t>Da verificare</t>
        </is>
      </c>
      <c r="E34" s="6" t="inlineStr">
        <is>
          <t>Riorganizzazione:
- Spostato al punto 2. Consapevolezza e coinvolgimento degli ospiti
Modifiche principali:
- Rafforzato da G a I per HH, CHP, SA e A
Modifiche minori:
- Miglioramento della formulazione
Modifiche all'audit:
- Aggiornata la formulazione dell'audit, con l'aggiunta della frase "Viene verificato che tali materiali soddisfino i requisiti sopra indicati e riflettano lo specifico contesto locale". A parte questo, non sono state apportate modifiche sostanziali al processo di audit.</t>
        </is>
      </c>
      <c r="F34" s="6" t="inlineStr">
        <is>
          <t>Alto</t>
        </is>
      </c>
      <c r="G34" s="6" t="inlineStr">
        <is>
          <t>Alessandra Ferrara – Operations</t>
        </is>
      </c>
      <c r="H34" s="6" t="inlineStr"/>
      <c r="I34" s="6" t="inlineStr">
        <is>
          <t>Aggiornare guest journey: informazioni Green Key, feedback, turismo responsabile e mobilità sostenibile.</t>
        </is>
      </c>
      <c r="J34" s="6" t="inlineStr">
        <is>
          <t>NO</t>
        </is>
      </c>
      <c r="K34" s="6" t="inlineStr">
        <is>
          <t>DA VERIFICARE</t>
        </is>
      </c>
      <c r="L34" s="6" t="inlineStr"/>
      <c r="M34" s="6" t="inlineStr">
        <is>
          <t>Da definire in gap audit</t>
        </is>
      </c>
      <c r="N34" s="6" t="inlineStr"/>
    </row>
    <row r="35">
      <c r="A35" s="6" t="inlineStr">
        <is>
          <t>2.10</t>
        </is>
      </c>
      <c r="B35" s="6" t="inlineStr">
        <is>
          <t>Ospiti</t>
        </is>
      </c>
      <c r="C35" s="6" t="inlineStr">
        <is>
          <t>La struttura fornisce e promuove attivamente almeno 4 attività di sensibilizzazio ne per gli ospiti incentrate sullo sviluppo sostenibile, l'ambiente e la comunità locale. (G)</t>
        </is>
      </c>
      <c r="D35" s="6" t="inlineStr">
        <is>
          <t>Guida</t>
        </is>
      </c>
      <c r="E35" s="6" t="inlineStr">
        <is>
          <t>Riorganizzazione:
- Spostato al punto 2. Sensibilizzazione e coinvolgimento degli ospiti
Moderato:
- Rafforzato con l'aggiunta della seguente condizione: "La struttura implementa e promuove attivamente almeno 4 iniziative di sensibilizzazione per periodo di certificazione (ovvero 2 attività per anno solare)."
Minore:
- Miglioramento della formulazione
Modifiche all'audit:
- Chiarimento e aggiornamento del processo di audit in modo che copra il contenuto del nuovo criterio, istruzioni più dettagliate su cosa deve essere incluso nell'audit e processo di audit rafforzato: la struttura presenta la documentazione che attestale attività di sensibilizzazione svolte nell'ultimo anno solare completo e quelle pianificate per i successivi 2 anni solari.</t>
        </is>
      </c>
      <c r="F35" s="6" t="inlineStr">
        <is>
          <t>medio</t>
        </is>
      </c>
      <c r="G35" s="6" t="inlineStr">
        <is>
          <t>Alessandra Ferrara – Operations</t>
        </is>
      </c>
      <c r="H35" s="6" t="inlineStr"/>
      <c r="I35" s="6" t="inlineStr">
        <is>
          <t>Aggiornare guest journey: informazioni Green Key, feedback, turismo responsabile e mobilità sostenibile.</t>
        </is>
      </c>
      <c r="J35" s="6" t="inlineStr">
        <is>
          <t>NO</t>
        </is>
      </c>
      <c r="K35" s="6" t="inlineStr">
        <is>
          <t>DA VERIFICARE</t>
        </is>
      </c>
      <c r="L35" s="6" t="inlineStr"/>
      <c r="M35" s="6" t="inlineStr">
        <is>
          <t>Da definire in gap audit</t>
        </is>
      </c>
      <c r="N35" s="6" t="inlineStr"/>
    </row>
    <row r="36">
      <c r="A36" s="6" t="inlineStr">
        <is>
          <t>2.11</t>
        </is>
      </c>
      <c r="B36" s="6" t="inlineStr">
        <is>
          <t>Ospiti</t>
        </is>
      </c>
      <c r="C36" s="6" t="inlineStr">
        <is>
          <t>La struttura offre o facilita l'accesso al noleggio di mezzi di trasporto non motorizzati per gli ospiti. (G)</t>
        </is>
      </c>
      <c r="D36" s="6" t="inlineStr">
        <is>
          <t>Guida</t>
        </is>
      </c>
      <c r="E36" s="6" t="inlineStr">
        <is>
          <t>Riorganizzazione:
- Spostato al punto 2. Informazioni e coinvolgimento degli ospiti
- Fusione dei vecchi punti 12.2 e 12.3
Moderata:
- Modificato da "biciclette" a "noleggio di mezzi di trasporto non motorizzati"
- A seguito della fusione, ora include sia "offre o facilita l'accesso"
- Aggiunto l'adattamento nazionale per il Belgio (imperativo)
Minore:
- Miglioramento della formulazione
Modifiche all'audit:
- Chiarito e aggiornato il processo di audit in modo che copra il contenuto del nuovo criterio: l'auditor deve confermare la disponibilità o la promozione, oppure la presenza delle informazioni comunicate</t>
        </is>
      </c>
      <c r="F36" s="6" t="inlineStr">
        <is>
          <t>Medio/Basso</t>
        </is>
      </c>
      <c r="G36" s="6" t="inlineStr">
        <is>
          <t>Alessandra Ferrara – Operations</t>
        </is>
      </c>
      <c r="H36" s="6" t="inlineStr"/>
      <c r="I36" s="6" t="inlineStr">
        <is>
          <t>Aggiornare guest journey: informazioni Green Key, feedback, turismo responsabile e mobilità sostenibile.</t>
        </is>
      </c>
      <c r="J36" s="6" t="inlineStr">
        <is>
          <t>NO</t>
        </is>
      </c>
      <c r="K36" s="6" t="inlineStr">
        <is>
          <t>DA VERIFICARE</t>
        </is>
      </c>
      <c r="L36" s="6" t="inlineStr"/>
      <c r="M36" s="6" t="inlineStr">
        <is>
          <t>Da definire in gap audit</t>
        </is>
      </c>
      <c r="N36" s="6" t="inlineStr"/>
    </row>
    <row r="37">
      <c r="A37" s="6" t="inlineStr">
        <is>
          <t>3.1</t>
        </is>
      </c>
      <c r="B37" s="6" t="inlineStr">
        <is>
          <t>Acqua</t>
        </is>
      </c>
      <c r="C37" s="6" t="inlineStr">
        <is>
          <t>Il consumo totale di acqua viene registrato almeno una volta al mese. (I)</t>
        </is>
      </c>
      <c r="D37" s="6" t="inlineStr">
        <is>
          <t>Imperativo</t>
        </is>
      </c>
      <c r="E37" s="6" t="inlineStr">
        <is>
          <t>Riorganizzazione:
- Modificato l'ordine dei capitoli (da 4 a 3)
Modifiche minori:
- Miglioramento della formulazione
Modifiche all'audit:
- Chiarimento e aggiornamento del processo di audit per includere il contenuto del nuovo criterio; sono state fornite istruzioni più dettagliate sulla documentazione da includere nell'audit; il processo di audit è stato rafforzato (i richiedenti che rinnovano l'autorizzazione devono presentare i dati relativi al consumo idrico degli ultimi due anni solari, mentre per le nuove richieste sono obbligatori i dati relativi all'ultimo anno solare (o almeno 3 mesi) e 3 campioni di documenti pertinenti (metodologia C)).</t>
        </is>
      </c>
      <c r="F37" s="6" t="inlineStr">
        <is>
          <t>Medio/basso</t>
        </is>
      </c>
      <c r="G37" s="6" t="inlineStr">
        <is>
          <t>Alessandra Ferrara – Operations / Maintenance</t>
        </is>
      </c>
      <c r="H37" s="6" t="inlineStr"/>
      <c r="I37" s="6" t="inlineStr">
        <is>
          <t>Verificare misure, registri, rischio idrico, rubinetti/docce, perdite e gestione acqua.</t>
        </is>
      </c>
      <c r="J37" s="6" t="inlineStr">
        <is>
          <t>NO</t>
        </is>
      </c>
      <c r="K37" s="6" t="inlineStr">
        <is>
          <t>DA VERIFICARE</t>
        </is>
      </c>
      <c r="L37" s="6" t="inlineStr"/>
      <c r="M37" s="6" t="inlineStr">
        <is>
          <t>Da definire in gap audit</t>
        </is>
      </c>
      <c r="N37" s="6" t="inlineStr"/>
    </row>
    <row r="38">
      <c r="A38" s="6" t="inlineStr">
        <is>
          <t>3.2</t>
        </is>
      </c>
      <c r="B38" s="6" t="inlineStr">
        <is>
          <t>Acqua</t>
        </is>
      </c>
      <c r="C38" s="6" t="inlineStr">
        <is>
          <t>I punti di erogazione dell'acqua sono monitorati attivamente e le perdite riparate tempestivamente. (I)</t>
        </is>
      </c>
      <c r="D38" s="6" t="inlineStr">
        <is>
          <t>Imperativo</t>
        </is>
      </c>
      <c r="E38" s="6" t="inlineStr">
        <is>
          <t>Riorganizzazione:
- Modificato l'ordine dei capitoli (da 4 a 3)
Modalità moderata:
- Ampliato il focus sui "punti di erogazione dell'acqua"
Modalità minore:
- Miglioramento della formulazione
Modifiche all'audit:
- Chiarito e aggiornato il processo di audit in modo che copra il contenuto del nuovo criterio, sono state fornite istruzioni più dettagliate su cosa includere nell'audit ed è stato rafforzato il processo di audit (ora è richiesta la documentazione scritta e per l'ispezione visiva è stato stabilito un numero minimo di campionamenti (metodologia A))</t>
        </is>
      </c>
      <c r="F38" s="6" t="inlineStr">
        <is>
          <t>medio</t>
        </is>
      </c>
      <c r="G38" s="6" t="inlineStr">
        <is>
          <t>Alessandra Ferrara – Operations / Maintenance</t>
        </is>
      </c>
      <c r="H38" s="6" t="inlineStr"/>
      <c r="I38" s="6" t="inlineStr">
        <is>
          <t>Verificare misure, registri, rischio idrico, rubinetti/docce, perdite e gestione acqua.</t>
        </is>
      </c>
      <c r="J38" s="6" t="inlineStr">
        <is>
          <t>NO</t>
        </is>
      </c>
      <c r="K38" s="6" t="inlineStr">
        <is>
          <t>DA VERIFICARE</t>
        </is>
      </c>
      <c r="L38" s="6" t="inlineStr"/>
      <c r="M38" s="6" t="inlineStr">
        <is>
          <t>Da definire in gap audit</t>
        </is>
      </c>
      <c r="N38" s="6" t="inlineStr"/>
    </row>
    <row r="39">
      <c r="A39" s="6" t="inlineStr">
        <is>
          <t>3.3</t>
        </is>
      </c>
      <c r="B39" s="6" t="inlineStr">
        <is>
          <t>Acqua</t>
        </is>
      </c>
      <c r="C39" s="6" t="inlineStr">
        <is>
          <t>Il flusso d’acqua in almeno l’80% delle docce non supera i 9 litri al minuto. (I)</t>
        </is>
      </c>
      <c r="D39" s="6" t="inlineStr">
        <is>
          <t>Imperativo</t>
        </is>
      </c>
      <c r="E39" s="6" t="inlineStr">
        <is>
          <t>Riorganizzazione:
- Modificato l'ordine dei capitoli (da 4 a 3)
Modifiche principali:
- Rinforzato il controllo della portata delle docce, portando il numero totale dal 75% all'80%.
Modifiche moderate:
- Nota sull'adattamento nazionale: in Belgio, Danimarca, Finlandia, Messico, Paesi Bassi, Norvegia e Svezia, la portata d'acqua in almeno il 90% delle docce non supera i 9 litri al minuto.
Modifiche minori:
- Miglioramento della formulazione
Modifiche all'audit:
- Aggiornato (80%) e rafforzato il processo di audit (l'esercizio commerciale deve presentare una panoramica delle auto-verifiche effettuate ed è stato stabilito un numero minimo di campionamenti (metodologia A e B)).</t>
        </is>
      </c>
      <c r="F39" s="6" t="inlineStr">
        <is>
          <t>Alto</t>
        </is>
      </c>
      <c r="G39" s="6" t="inlineStr">
        <is>
          <t>Alessandra Ferrara – Operations / Maintenance</t>
        </is>
      </c>
      <c r="H39" s="6" t="inlineStr"/>
      <c r="I39" s="6" t="inlineStr">
        <is>
          <t>Verificare misure, registri, rischio idrico, rubinetti/docce, perdite e gestione acqua.</t>
        </is>
      </c>
      <c r="J39" s="6" t="inlineStr">
        <is>
          <t>NO</t>
        </is>
      </c>
      <c r="K39" s="6" t="inlineStr">
        <is>
          <t>DA VERIFICARE</t>
        </is>
      </c>
      <c r="L39" s="6" t="inlineStr"/>
      <c r="M39" s="6" t="inlineStr">
        <is>
          <t>Da definire in gap audit</t>
        </is>
      </c>
      <c r="N39" s="6" t="inlineStr"/>
    </row>
    <row r="40">
      <c r="A40" s="6" t="inlineStr">
        <is>
          <t>3.4</t>
        </is>
      </c>
      <c r="B40" s="6" t="inlineStr">
        <is>
          <t>Acqua</t>
        </is>
      </c>
      <c r="C40" s="6" t="inlineStr">
        <is>
          <t>Il flusso d'acqua in almeno l'80% dei rubinetti per il lavaggio delle mani non supera gli 8 litri al minuto. (I)</t>
        </is>
      </c>
      <c r="D40" s="6" t="inlineStr">
        <is>
          <t>Imperativo</t>
        </is>
      </c>
      <c r="E40" s="6" t="inlineStr">
        <is>
          <t>Riorganizzazione:
- Modificato l'ordine dei capitoli (da 4 a 3)
Modalità principali:
- Rafforzato il requisito relativo ai rubinetti, portandolo dal 75% all'80%.
Modalità moderate:
- ⓘ Adattamento nazionale: In Belgio, Danimarca, Finlandia, Messico, Paesi Bassi, Norvegia, Portogallo e Svezia, la portata d'acqua in almeno il 90% dei rubinetti per il lavaggio delle mani non supera i 6 litri al minuto.
Modalità minori:
- Chiarito che si tratta di "rubinetti per il lavaggio delle mani"
- Miglioramento della formulazione
Modifiche all'audit:
- Aggiornato (80%) e rafforzato il processo di audit (l'esercizio commerciale deve presentare una panoramica delle auto-controlli effettuati ed è stato stabilito un numero minimo di campionamenti (metodologia A e B))</t>
        </is>
      </c>
      <c r="F40" s="6" t="inlineStr">
        <is>
          <t>Alto</t>
        </is>
      </c>
      <c r="G40" s="6" t="inlineStr">
        <is>
          <t>Alessandra Ferrara – Operations / Maintenance</t>
        </is>
      </c>
      <c r="H40" s="6" t="inlineStr"/>
      <c r="I40" s="6" t="inlineStr">
        <is>
          <t>Verificare misure, registri, rischio idrico, rubinetti/docce, perdite e gestione acqua.</t>
        </is>
      </c>
      <c r="J40" s="6" t="inlineStr">
        <is>
          <t>NO</t>
        </is>
      </c>
      <c r="K40" s="6" t="inlineStr">
        <is>
          <t>DA VERIFICARE</t>
        </is>
      </c>
      <c r="L40" s="6" t="inlineStr"/>
      <c r="M40" s="6" t="inlineStr">
        <is>
          <t>Da definire in gap audit</t>
        </is>
      </c>
      <c r="N40" s="6" t="inlineStr"/>
    </row>
    <row r="41">
      <c r="A41" s="6" t="inlineStr">
        <is>
          <t>3.5</t>
        </is>
      </c>
      <c r="B41" s="6" t="inlineStr">
        <is>
          <t>Acqua</t>
        </is>
      </c>
      <c r="C41" s="6" t="inlineStr">
        <is>
          <t>Gli orinatoi sono dotati di sensori, dispositivi di risparmio idrico o sono senza acqua. (I)</t>
        </is>
      </c>
      <c r="D41" s="6" t="inlineStr">
        <is>
          <t>Imperativo</t>
        </is>
      </c>
      <c r="E41" s="6" t="inlineStr">
        <is>
          <t>Riorganizzazione:
- Modificato l'ordine dei capitoli (da 4 a 3)
Modifiche minori:
- Miglioramento della formulazione
Modifiche alla revisione contabile:
- Aggiornata la formulazione relativa alla revisione contabile, ma non sono state apportate modifiche al processo di revisione.</t>
        </is>
      </c>
      <c r="F41" s="6" t="inlineStr">
        <is>
          <t>Basso</t>
        </is>
      </c>
      <c r="G41" s="6" t="inlineStr">
        <is>
          <t>Alessandra Ferrara – Operations / Maintenance</t>
        </is>
      </c>
      <c r="H41" s="6" t="inlineStr"/>
      <c r="I41" s="6" t="inlineStr">
        <is>
          <t>Verificare misure, registri, rischio idrico, rubinetti/docce, perdite e gestione acqua.</t>
        </is>
      </c>
      <c r="J41" s="6" t="inlineStr">
        <is>
          <t>NO</t>
        </is>
      </c>
      <c r="K41" s="6" t="inlineStr">
        <is>
          <t>DA VERIFICARE</t>
        </is>
      </c>
      <c r="L41" s="6" t="inlineStr"/>
      <c r="M41" s="6" t="inlineStr">
        <is>
          <t>Da definire in gap audit</t>
        </is>
      </c>
      <c r="N41" s="6" t="inlineStr"/>
    </row>
    <row r="42">
      <c r="A42" s="6" t="inlineStr">
        <is>
          <t>3.6</t>
        </is>
      </c>
      <c r="B42" s="6" t="inlineStr">
        <is>
          <t>Acqua</t>
        </is>
      </c>
      <c r="C42" s="6" t="inlineStr">
        <is>
          <t>I WC di nuovo acquisto sono dotati di un sistema a doppio scarico con massimo 3/6 litri per scarico o massimo 4,5 litri per lo scarico basato su sensori. (I)</t>
        </is>
      </c>
      <c r="D42" s="6" t="inlineStr">
        <is>
          <t>Imperativo</t>
        </is>
      </c>
      <c r="E42" s="6" t="inlineStr">
        <is>
          <t>Riorganizzazione:
- Modificato l'ordine dei capitoli (da 4 a 3)
Modalità moderata:
- Aggiunta l'opzione "massimo 4,5 litri per i sistemi di scarico a sensore"
-ⓘ Adeguamento nazionale: In Francia e Portogallo, i WC di nuova installazione sono dotati di un sistema a doppio scarico con un massimo di 3/6 litri per scarico, oppure un massimo di 4,5 litri per i sistemi di scarico a sensore. Inoltre, il 50% di tutti i WC esistenti ha un massimo di 6 litri per scarico.
Modifiche minori:
- Miglioramento della formulazione
Modifiche alla procedura di verifica:
- Processo di verifica leggermente rafforzato (i richiedenti che rinnovano l'autorizzazione devono presentare le ricevute degli ultimi 24 mesi, i richiedenti che presentano l'autorizzazione per la prima volta quelle degli ultimi 12 mesi)</t>
        </is>
      </c>
      <c r="F42" s="6" t="inlineStr">
        <is>
          <t>Medio/basso</t>
        </is>
      </c>
      <c r="G42" s="6" t="inlineStr">
        <is>
          <t>Alessandra Ferrara – Operations / Maintenance</t>
        </is>
      </c>
      <c r="H42" s="6" t="inlineStr"/>
      <c r="I42" s="6" t="inlineStr">
        <is>
          <t>Verificare misure, registri, rischio idrico, rubinetti/docce, perdite e gestione acqua.</t>
        </is>
      </c>
      <c r="J42" s="6" t="inlineStr">
        <is>
          <t>NO</t>
        </is>
      </c>
      <c r="K42" s="6" t="inlineStr">
        <is>
          <t>DA VERIFICARE</t>
        </is>
      </c>
      <c r="L42" s="6" t="inlineStr"/>
      <c r="M42" s="6" t="inlineStr">
        <is>
          <t>Da definire in gap audit</t>
        </is>
      </c>
      <c r="N42" s="6" t="inlineStr"/>
    </row>
    <row r="43">
      <c r="A43" s="6" t="inlineStr">
        <is>
          <t>3.7</t>
        </is>
      </c>
      <c r="B43" s="6" t="inlineStr">
        <is>
          <t>Acqua</t>
        </is>
      </c>
      <c r="C43" s="6" t="inlineStr">
        <is>
          <t>Le lavastoviglie e le lavatrici di nuovo acquisto sono efficienti dal punto divista idrico (I)</t>
        </is>
      </c>
      <c r="D43" s="6" t="inlineStr">
        <is>
          <t>Imperativo</t>
        </is>
      </c>
      <c r="E43" s="6" t="inlineStr">
        <is>
          <t>Riorganizzazione:
- Modifica dell'ordine dei capitoli (da 4 a 3)
- Fusione dei vecchi paragrafi 4.7 e 4.9
Modalità rilevante:
- Applicabile anche (I) per il Sudafrica.
Modalità moderata:
- A causa della fusione, il nuovo requisito ora include sia le lavastoviglie che le lavatrici.
Modalità minore:
- Miglioramento della formulazione.
Modifiche alla procedura di verifica:
- Chiarimento e aggiornamento della procedura di verifica in modo che copra il contenuto del nuovo criterio, e rafforzamento della procedura di verifica (i richiedenti che rinnovano l'autorizzazione devono presentare le ricevute degli ultimi 24 mesi, i richiedenti che presentano l'autorizzazione per la prima volta quelle degli ultimi 12 mesi, e tutti devono fornire le relative specifiche di consumo idrico).</t>
        </is>
      </c>
      <c r="F43" s="6" t="inlineStr">
        <is>
          <t>Alto/medio</t>
        </is>
      </c>
      <c r="G43" s="6" t="inlineStr">
        <is>
          <t>Alessandra Ferrara – Operations / Maintenance</t>
        </is>
      </c>
      <c r="H43" s="6" t="inlineStr"/>
      <c r="I43" s="6" t="inlineStr">
        <is>
          <t>Verificare misure, registri, rischio idrico, rubinetti/docce, perdite e gestione acqua.</t>
        </is>
      </c>
      <c r="J43" s="6" t="inlineStr">
        <is>
          <t>NO</t>
        </is>
      </c>
      <c r="K43" s="6" t="inlineStr">
        <is>
          <t>DA VERIFICARE</t>
        </is>
      </c>
      <c r="L43" s="6" t="inlineStr"/>
      <c r="M43" s="6" t="inlineStr">
        <is>
          <t>Da definire in gap audit</t>
        </is>
      </c>
      <c r="N43" s="6" t="inlineStr"/>
    </row>
    <row r="44">
      <c r="A44" s="6" t="inlineStr">
        <is>
          <t>3.8</t>
        </is>
      </c>
      <c r="B44" s="6" t="inlineStr">
        <is>
          <t>Acqua</t>
        </is>
      </c>
      <c r="C44" s="6" t="inlineStr">
        <is>
          <t>Contatori dell'acqua separati sono installati nelle aree ad alto consumo idrico. (G)</t>
        </is>
      </c>
      <c r="D44" s="6" t="inlineStr">
        <is>
          <t>Guida</t>
        </is>
      </c>
      <c r="E44" s="6" t="inlineStr">
        <is>
          <t>Riorganizzazione:
- Modificato l'ordine dei capitoli (da 4 a 3)
Modifiche minori:
- Miglioramento della formulazione
Modifiche alla procedura di audit:
- Modificata la procedura di audit in modo che, durante l'ispezione visiva, l'auditor verifichi la presenza dei contatori secondari e la metodologia in atto per il monitoraggio dei consumi.</t>
        </is>
      </c>
      <c r="F44" s="6" t="inlineStr">
        <is>
          <t>medio</t>
        </is>
      </c>
      <c r="G44" s="6" t="inlineStr">
        <is>
          <t>Alessandra Ferrara – Operations / Maintenance</t>
        </is>
      </c>
      <c r="H44" s="6" t="inlineStr"/>
      <c r="I44" s="6" t="inlineStr">
        <is>
          <t>Verificare misure, registri, rischio idrico, rubinetti/docce, perdite e gestione acqua.</t>
        </is>
      </c>
      <c r="J44" s="6" t="inlineStr">
        <is>
          <t>NO</t>
        </is>
      </c>
      <c r="K44" s="6" t="inlineStr">
        <is>
          <t>DA VERIFICARE</t>
        </is>
      </c>
      <c r="L44" s="6" t="inlineStr"/>
      <c r="M44" s="6" t="inlineStr">
        <is>
          <t>Da definire in gap audit</t>
        </is>
      </c>
      <c r="N44" s="6" t="inlineStr"/>
    </row>
    <row r="45">
      <c r="A45" s="6" t="inlineStr">
        <is>
          <t>3.9</t>
        </is>
      </c>
      <c r="B45" s="6" t="inlineStr">
        <is>
          <t>Acqua</t>
        </is>
      </c>
      <c r="C45" s="6" t="inlineStr">
        <is>
          <t>Una valutazione del rischio idrico appropriata al contesto locale e alla scala operativa è stata effettuata negli ultimi 6</t>
        </is>
      </c>
      <c r="D45" s="6" t="inlineStr">
        <is>
          <t>Da verificare</t>
        </is>
      </c>
      <c r="E45" s="6" t="inlineStr">
        <is>
          <t>Riorganizzazione:
- Modificato l'ordine dei capitoli (da 4 a 3)
Modifiche principali:
- Non più applicabile per SA e R
- Aggiunto che la valutazione del rischio idrico deve essere stata effettuata negli ultimi 6 anni
Modifiche minori:
- Miglioramento della formulazione
Modifiche all'audit:
- Aggiornato il processo di audit per includere il contenuto dei nuovi criteri (l'azienda deve presentare l'ultima valutazione del rischio idrico effettuata negli ultimi 6 anni). Aggiunto che, in circostanze specifiche, laddove siano stati identificati dei rischi, l'azienda deve presentare la documentazione che dimostri come sono state affrontate le problematiche riscontrate.</t>
        </is>
      </c>
      <c r="F45" s="6" t="inlineStr">
        <is>
          <t>medio</t>
        </is>
      </c>
      <c r="G45" s="6" t="inlineStr">
        <is>
          <t>Alessandra Ferrara – Operations / Maintenance</t>
        </is>
      </c>
      <c r="H45" s="6" t="inlineStr"/>
      <c r="I45" s="6" t="inlineStr">
        <is>
          <t>Verificare misure, registri, rischio idrico, rubinetti/docce, perdite e gestione acqua.</t>
        </is>
      </c>
      <c r="J45" s="6" t="inlineStr">
        <is>
          <t>NO</t>
        </is>
      </c>
      <c r="K45" s="6" t="inlineStr">
        <is>
          <t>DA VERIFICARE</t>
        </is>
      </c>
      <c r="L45" s="6" t="inlineStr"/>
      <c r="M45" s="6" t="inlineStr">
        <is>
          <t>Da definire in gap audit</t>
        </is>
      </c>
      <c r="N45" s="6" t="inlineStr"/>
    </row>
    <row r="46">
      <c r="A46" s="6" t="inlineStr">
        <is>
          <t>3.10</t>
        </is>
      </c>
      <c r="B46" s="6" t="inlineStr">
        <is>
          <t>Acqua</t>
        </is>
      </c>
      <c r="C46" s="6" t="inlineStr">
        <is>
          <t>L'acqua piovana e/o la condensa dei sistemi di condizionamento (AC) vengono raccolte e utilizzate per scopi idonei. (G)</t>
        </is>
      </c>
      <c r="D46" s="6" t="inlineStr">
        <is>
          <t>Guida</t>
        </is>
      </c>
      <c r="E46" s="6" t="inlineStr">
        <is>
          <t>Riorganizzazione:
- Modificato l'ordine dei capitoli (da 4 a 3)
Modalità moderata:
- Aggiunto il requisito relativo alla condensa dell'aria condizionata e/o alla condensa dell'aria condizionata
Modalità minore:
- Miglioramento della formulazione
Modifiche all'audit:
- Chiarito il processo di audit e fornite istruzioni più dettagliate su cosa includere nell'audit (se l'acqua piovana viene utilizzata per il consumo umano, è necessaria la documentazione)</t>
        </is>
      </c>
      <c r="F46" s="6" t="inlineStr">
        <is>
          <t>Basso</t>
        </is>
      </c>
      <c r="G46" s="6" t="inlineStr">
        <is>
          <t>Alessandra Ferrara – Operations / Maintenance</t>
        </is>
      </c>
      <c r="H46" s="6" t="inlineStr"/>
      <c r="I46" s="6" t="inlineStr">
        <is>
          <t>Verificare misure, registri, rischio idrico, rubinetti/docce, perdite e gestione acqua.</t>
        </is>
      </c>
      <c r="J46" s="6" t="inlineStr">
        <is>
          <t>NO</t>
        </is>
      </c>
      <c r="K46" s="6" t="inlineStr">
        <is>
          <t>DA VERIFICARE</t>
        </is>
      </c>
      <c r="L46" s="6" t="inlineStr"/>
      <c r="M46" s="6" t="inlineStr">
        <is>
          <t>Da definire in gap audit</t>
        </is>
      </c>
      <c r="N46" s="6" t="inlineStr"/>
    </row>
    <row r="47">
      <c r="A47" s="6" t="inlineStr">
        <is>
          <t>3.11</t>
        </is>
      </c>
      <c r="B47" s="6" t="inlineStr">
        <is>
          <t>Acqua</t>
        </is>
      </c>
      <c r="C47" s="6" t="inlineStr">
        <is>
          <t>Il flusso d'acqua in tutti i rubinetti per il lavaggio delle mani è al massimo di 5 litri al minuto. (G)</t>
        </is>
      </c>
      <c r="D47" s="6" t="inlineStr">
        <is>
          <t>Guida</t>
        </is>
      </c>
      <c r="E47" s="6" t="inlineStr">
        <is>
          <t>Riorganizzazione:
- Modificato l'ordine dei capitoli (da 4 a 3)
Modalità principali:
- Rinforzato il requisito relativo ai rubinetti, passando dal 75% a tutti i rubinetti per il lavaggio delle mani
Modalità moderate:
- Modificato il termine "rubinetti" in "rubinetti per il lavaggio delle mani"
- ⓘ Adattamento nazionale: In Belgio, Danimarca, Messico, Paesi Bassi, Norvegia, Portogallo e Svezia, la portata d'acqua in tutti i rubinetti per il lavaggio delle mani è di massimo 4 litri al minuto.
Modifica minore:
- Miglioramento della formulazione
Modifiche all'audit:
- Rafforzato e chiarito il processo di audit (tutti i rubinetti, l'esercizio commerciale deve presentare una panoramica dei controlli interni effettuati e sono state fornite istruzioni su dove e quanti campionamenti devono essere effettuati durante l'ispezione visiva (metodologia A e B))</t>
        </is>
      </c>
      <c r="F47" s="6" t="inlineStr">
        <is>
          <t>medio</t>
        </is>
      </c>
      <c r="G47" s="6" t="inlineStr">
        <is>
          <t>Alessandra Ferrara – Operations / Maintenance</t>
        </is>
      </c>
      <c r="H47" s="6" t="inlineStr"/>
      <c r="I47" s="6" t="inlineStr">
        <is>
          <t>Verificare misure, registri, rischio idrico, rubinetti/docce, perdite e gestione acqua.</t>
        </is>
      </c>
      <c r="J47" s="6" t="inlineStr">
        <is>
          <t>NO</t>
        </is>
      </c>
      <c r="K47" s="6" t="inlineStr">
        <is>
          <t>DA VERIFICARE</t>
        </is>
      </c>
      <c r="L47" s="6" t="inlineStr"/>
      <c r="M47" s="6" t="inlineStr">
        <is>
          <t>Da definire in gap audit</t>
        </is>
      </c>
      <c r="N47" s="6" t="inlineStr"/>
    </row>
    <row r="48">
      <c r="A48" s="6" t="inlineStr">
        <is>
          <t>3.12</t>
        </is>
      </c>
      <c r="B48" s="6" t="inlineStr">
        <is>
          <t>Acqua</t>
        </is>
      </c>
      <c r="C48" s="6" t="inlineStr">
        <is>
          <t>Tutti i rubinetti pubblici per il lavaggio delle mani sono dotati di sistemi di interruzione automatica dell'acqua. (G)</t>
        </is>
      </c>
      <c r="D48" s="6" t="inlineStr">
        <is>
          <t>Guida</t>
        </is>
      </c>
      <c r="E48" s="6" t="inlineStr">
        <is>
          <t>Importante:
- Nuovo requisito (linea guida)</t>
        </is>
      </c>
      <c r="F48" s="6" t="inlineStr">
        <is>
          <t>Alto/Medio</t>
        </is>
      </c>
      <c r="G48" s="6" t="inlineStr">
        <is>
          <t>Alessandra Ferrara – Operations / Maintenance</t>
        </is>
      </c>
      <c r="H48" s="6" t="inlineStr"/>
      <c r="I48" s="6" t="inlineStr">
        <is>
          <t>Verificare misure, registri, rischio idrico, rubinetti/docce, perdite e gestione acqua.</t>
        </is>
      </c>
      <c r="J48" s="6" t="inlineStr">
        <is>
          <t>NO</t>
        </is>
      </c>
      <c r="K48" s="6" t="inlineStr">
        <is>
          <t>DA VERIFICARE</t>
        </is>
      </c>
      <c r="L48" s="6" t="inlineStr"/>
      <c r="M48" s="6" t="inlineStr">
        <is>
          <t>Da definire in gap audit</t>
        </is>
      </c>
      <c r="N48" s="6" t="inlineStr"/>
    </row>
    <row r="49">
      <c r="A49" s="6" t="inlineStr">
        <is>
          <t>3.13</t>
        </is>
      </c>
      <c r="B49" s="6" t="inlineStr">
        <is>
          <t>Acqua</t>
        </is>
      </c>
      <c r="C49" s="6" t="inlineStr">
        <is>
          <t>Vasche da bagno, jacuzzi/spa o piscine private non sono presenti in nessuna delle camere e suite degli ospiti. (G)</t>
        </is>
      </c>
      <c r="D49" s="6" t="inlineStr">
        <is>
          <t>Guida</t>
        </is>
      </c>
      <c r="E49" s="6" t="inlineStr">
        <is>
          <t>Importante:
- Nuovo requisito (linea guida)</t>
        </is>
      </c>
      <c r="F49" s="6" t="inlineStr">
        <is>
          <t>medio</t>
        </is>
      </c>
      <c r="G49" s="6" t="inlineStr">
        <is>
          <t>Alessandra Ferrara – Operations / Maintenance</t>
        </is>
      </c>
      <c r="H49" s="6" t="inlineStr"/>
      <c r="I49" s="6" t="inlineStr">
        <is>
          <t>Verificare misure, registri, rischio idrico, rubinetti/docce, perdite e gestione acqua.</t>
        </is>
      </c>
      <c r="J49" s="6" t="inlineStr">
        <is>
          <t>NO</t>
        </is>
      </c>
      <c r="K49" s="6" t="inlineStr">
        <is>
          <t>DA VERIFICARE</t>
        </is>
      </c>
      <c r="L49" s="6" t="inlineStr"/>
      <c r="M49" s="6" t="inlineStr">
        <is>
          <t>Da definire in gap audit</t>
        </is>
      </c>
      <c r="N49" s="6" t="inlineStr"/>
    </row>
    <row r="50">
      <c r="A50" s="6" t="inlineStr">
        <is>
          <t>3.14</t>
        </is>
      </c>
      <c r="B50" s="6" t="inlineStr">
        <is>
          <t>Acqua</t>
        </is>
      </c>
      <c r="C50" s="6" t="inlineStr">
        <is>
          <t>I principali sistemi esterni che utilizzano acqua sono dotati di misure per ridurre il consumo d'acqua. (G)</t>
        </is>
      </c>
      <c r="D50" s="6" t="inlineStr">
        <is>
          <t>Guida</t>
        </is>
      </c>
      <c r="E50" s="6" t="inlineStr">
        <is>
          <t>Riorganizzazione:
- Modifica dell'ordine dei capitoli (da 4 a 3)
Modalità moderata:
- Ampliamento del criterio da "piscine" a "principali sistemi di utilizzo dell'acqua all'aperto"
- Aggiunta dell'opzione "misure per minimizzare l'evaporazione"
- Adattamento nazionale: in Belgio e nei Paesi Bassi, questo criterio è obbligatorio.
Modalità minore:
- Miglioramento della formulazione
Modifiche alla procedura di audit:
- Modifica della procedura di audit (durante l'ispezione visiva, l'auditor verifica la presenza di almeno una misura di controllo dell'evaporazione per ogni tipologia di sistema esistente)</t>
        </is>
      </c>
      <c r="F50" s="6" t="inlineStr">
        <is>
          <t>Medio/Basso</t>
        </is>
      </c>
      <c r="G50" s="6" t="inlineStr">
        <is>
          <t>Alessandra Ferrara – Operations / Maintenance</t>
        </is>
      </c>
      <c r="H50" s="6" t="inlineStr"/>
      <c r="I50" s="6" t="inlineStr">
        <is>
          <t>Verificare misure, registri, rischio idrico, rubinetti/docce, perdite e gestione acqua.</t>
        </is>
      </c>
      <c r="J50" s="6" t="inlineStr">
        <is>
          <t>NO</t>
        </is>
      </c>
      <c r="K50" s="6" t="inlineStr">
        <is>
          <t>DA VERIFICARE</t>
        </is>
      </c>
      <c r="L50" s="6" t="inlineStr"/>
      <c r="M50" s="6" t="inlineStr">
        <is>
          <t>Da definire in gap audit</t>
        </is>
      </c>
      <c r="N50" s="6" t="inlineStr"/>
    </row>
    <row r="51">
      <c r="A51" s="6" t="inlineStr">
        <is>
          <t>3.15</t>
        </is>
      </c>
      <c r="B51" s="6" t="inlineStr">
        <is>
          <t>Acqua</t>
        </is>
      </c>
      <c r="C51" s="6" t="inlineStr">
        <is>
          <t>Tutte le acque reflue vengono trattate. (I)</t>
        </is>
      </c>
      <c r="D51" s="6" t="inlineStr">
        <is>
          <t>Imperativo</t>
        </is>
      </c>
      <c r="E51" s="6" t="inlineStr">
        <is>
          <t>Riorganizzazione:
- Modificato l'ordine dei capitoli (da 4 a 3)
Modifiche minori:
- Miglioramento della formulazione
Modifiche all'audit:
- Modificata la procedura di audit (ora è richiesta documentazione scritta, ad esempio licenza o altra documentazione che dimostri la conformità al criterio). È stato aggiunto che, ove possibile, un'ispezione visiva conferma la conformità ai requisiti.</t>
        </is>
      </c>
      <c r="F51" s="6" t="inlineStr">
        <is>
          <t>medio</t>
        </is>
      </c>
      <c r="G51" s="6" t="inlineStr">
        <is>
          <t>Alessandra Ferrara – Operations / Maintenance</t>
        </is>
      </c>
      <c r="H51" s="6" t="inlineStr"/>
      <c r="I51" s="6" t="inlineStr">
        <is>
          <t>Verificare misure, registri, rischio idrico, rubinetti/docce, perdite e gestione acqua.</t>
        </is>
      </c>
      <c r="J51" s="6" t="inlineStr">
        <is>
          <t>NO</t>
        </is>
      </c>
      <c r="K51" s="6" t="inlineStr">
        <is>
          <t>DA VERIFICARE</t>
        </is>
      </c>
      <c r="L51" s="6" t="inlineStr"/>
      <c r="M51" s="6" t="inlineStr">
        <is>
          <t>Da definire in gap audit</t>
        </is>
      </c>
      <c r="N51" s="6" t="inlineStr"/>
    </row>
    <row r="52">
      <c r="A52" s="6" t="inlineStr">
        <is>
          <t>3.16</t>
        </is>
      </c>
      <c r="B52" s="6" t="inlineStr">
        <is>
          <t>Acqua</t>
        </is>
      </c>
      <c r="C52" s="6" t="inlineStr">
        <is>
          <t>Almeno un separatore di grassi è installato nelle cucine professionali o commerciali. (I)</t>
        </is>
      </c>
      <c r="D52" s="6" t="inlineStr">
        <is>
          <t>Imperativo</t>
        </is>
      </c>
      <c r="E52" s="6" t="inlineStr">
        <is>
          <t>Riorganizzazione:
- Modificato l'ordine dei capitoli (da 4 a 3)
Modifiche principali:
- Modificata la dicitura "non applicabile per il Sudafrica" ​​in "applicabile al Sudafrica"
Modifiche minori:
- Chiarito che si riferisce a "cucine professionali o commerciali"
- Miglioramento della formulazione
Modifiche alla procedura di audit:
- Modificata la procedura di audit (ora è richiesta documentazione scritta, ovvero i richiedenti che rinnovano la licenza devono presentare ricevute/fatture degli ultimi 24 mesi, i richiedenti che la presentano per la prima volta devono presentare ricevute degli ultimi 12 mesi). Aggiunto che, ove possibile, un'ispezione visiva conferma la presenza di trappole per grassi funzionanti negli scarichi della cucina.</t>
        </is>
      </c>
      <c r="F52" s="6" t="inlineStr">
        <is>
          <t>medio</t>
        </is>
      </c>
      <c r="G52" s="6" t="inlineStr">
        <is>
          <t>Alessandra Ferrara – Operations / Maintenance</t>
        </is>
      </c>
      <c r="H52" s="6" t="inlineStr"/>
      <c r="I52" s="6" t="inlineStr">
        <is>
          <t>Verificare misure, registri, rischio idrico, rubinetti/docce, perdite e gestione acqua.</t>
        </is>
      </c>
      <c r="J52" s="6" t="inlineStr">
        <is>
          <t>NO</t>
        </is>
      </c>
      <c r="K52" s="6" t="inlineStr">
        <is>
          <t>DA VERIFICARE</t>
        </is>
      </c>
      <c r="L52" s="6" t="inlineStr"/>
      <c r="M52" s="6" t="inlineStr">
        <is>
          <t>Da definire in gap audit</t>
        </is>
      </c>
      <c r="N52" s="6" t="inlineStr"/>
    </row>
    <row r="53">
      <c r="A53" s="6" t="inlineStr">
        <is>
          <t>3.17</t>
        </is>
      </c>
      <c r="B53" s="6" t="inlineStr">
        <is>
          <t>Acqua</t>
        </is>
      </c>
      <c r="C53" s="6" t="inlineStr">
        <is>
          <t>La struttura riutilizza le acque reflue trattate da sistemi propri o esterni autorizzati. (G)</t>
        </is>
      </c>
      <c r="D53" s="6" t="inlineStr">
        <is>
          <t>Guida</t>
        </is>
      </c>
      <c r="E53" s="6" t="inlineStr">
        <is>
          <t>Riorganizzazione:
- Modificato l'ordine dei capitoli (da 4 a 3)
Modalità moderata:
- Aggiunto il criterio "La struttura riutilizza le acque reflue 
trattate da sistemi propri o esterni autorizzati".
Modifica minore:
- Miglioramento della formulazione
Modifiche all'audit:
- Chiarito il processo di audit e aggiunto che, ove richiesto, l'azienda deve presentare un permesso o una licenza rilasciata dall'autorità competente che confermi che il riutilizzo è legalmente autorizzato (obbligatorio per qualsiasi riutilizzo di acque nere). Aggiunto inoltre che, ove possibile, dovrebbe essere effettuata un'ispezione visiva.</t>
        </is>
      </c>
      <c r="F53" s="6" t="inlineStr">
        <is>
          <t>Basso</t>
        </is>
      </c>
      <c r="G53" s="6" t="inlineStr">
        <is>
          <t>Alessandra Ferrara – Operations / Maintenance</t>
        </is>
      </c>
      <c r="H53" s="6" t="inlineStr"/>
      <c r="I53" s="6" t="inlineStr">
        <is>
          <t>Verificare misure, registri, rischio idrico, rubinetti/docce, perdite e gestione acqua.</t>
        </is>
      </c>
      <c r="J53" s="6" t="inlineStr">
        <is>
          <t>NO</t>
        </is>
      </c>
      <c r="K53" s="6" t="inlineStr">
        <is>
          <t>DA VERIFICARE</t>
        </is>
      </c>
      <c r="L53" s="6" t="inlineStr"/>
      <c r="M53" s="6" t="inlineStr">
        <is>
          <t>Da definire in gap audit</t>
        </is>
      </c>
      <c r="N53" s="6" t="inlineStr"/>
    </row>
    <row r="54">
      <c r="A54" s="6" t="inlineStr">
        <is>
          <t>4.1</t>
        </is>
      </c>
      <c r="B54" s="6" t="inlineStr">
        <is>
          <t>Energia</t>
        </is>
      </c>
      <c r="C54" s="6" t="inlineStr">
        <is>
          <t>Il consumo energetico, per fonte, è registrato almeno una volta al mese C(I)</t>
        </is>
      </c>
      <c r="D54" s="6" t="inlineStr">
        <is>
          <t>Imperativo</t>
        </is>
      </c>
      <c r="E54" s="6" t="inlineStr">
        <is>
          <t>Riorganizzazione:
- Modificato l'ordine dei capitoli (da 7 a 4)
Modifiche moderate/minori:
- Modificato da "consumo energetico" a "consumo energetico per fonte"
Modifiche minori:
- Miglioramento della formulazione
Modifiche all'audit:
- Chiarito e aggiornato il processo di audit in modo che copra il contenuto del nuovo criterio, sono state fornite istruzioni più dettagliate sulla documentazione da includere nell'audit e il processo di audit è stato rafforzato: è stato aggiunto il documento obbligatorio che descrive la metodologia di raccolta dei dati, i richiedenti che rinnovano la domanda devono presentare la documentazione richiesta per gli ultimi 24 mesi, i richiedenti che presentano domanda per la prima volta per gli ultimi 12 mesi, e sono obbligatori 3 campionamenti (metodologia C).</t>
        </is>
      </c>
      <c r="F54" s="6" t="inlineStr">
        <is>
          <t>Medio/basso</t>
        </is>
      </c>
      <c r="G54" s="6" t="inlineStr">
        <is>
          <t>Alessandra Ferrara – Operations / Maintenance</t>
        </is>
      </c>
      <c r="H54" s="6" t="inlineStr"/>
      <c r="I54" s="6" t="inlineStr">
        <is>
          <t>Verificare efficienza energetica, HVAC, LED, refrigeranti, controlli automatici e registri.</t>
        </is>
      </c>
      <c r="J54" s="6" t="inlineStr">
        <is>
          <t>NO</t>
        </is>
      </c>
      <c r="K54" s="6" t="inlineStr">
        <is>
          <t>DA VERIFICARE</t>
        </is>
      </c>
      <c r="L54" s="6" t="inlineStr"/>
      <c r="M54" s="6" t="inlineStr">
        <is>
          <t>Da definire in gap audit</t>
        </is>
      </c>
      <c r="N54" s="6" t="inlineStr"/>
    </row>
    <row r="55">
      <c r="A55" s="6" t="inlineStr">
        <is>
          <t>4.2</t>
        </is>
      </c>
      <c r="B55" s="6" t="inlineStr">
        <is>
          <t>Energia</t>
        </is>
      </c>
      <c r="C55" s="6" t="inlineStr">
        <is>
          <t>La struttura stabilisce una temperatura standard per il raffrescamento e il riscaldamento. (I)</t>
        </is>
      </c>
      <c r="D55" s="6" t="inlineStr">
        <is>
          <t>Imperativo</t>
        </is>
      </c>
      <c r="E55" s="6" t="inlineStr">
        <is>
          <t>Riorganizzazione:
- Modificato l'ordine dei capitoli (da 7 a 4)
Modalità moderata:
- Aggiunto che la struttura stabilisce una temperatura standard per il riscaldamento e il raffreddamento delle camere, con particolare attenzione alle camere per gli ospiti e alle sale riunioni. Per Ristoranti (R), Attrazioni (A) e Centri Congressi (CC), questo si applica all'intera area.
Modalità minore:
Miglioramento della formulazione
Modifiche all'audit:
- Chiarito e aggiornato il processo di audit in modo che copra il contenuto del nuovo criterio e rafforzato il processo di audit: per HH, CHP e SA, l'auditor effettua campionamenti in almeno 1 sala riunioni e nelle camere per gli ospiti seguendo la metodologia A; per R, A e CC, l'auditor effettua campionamenti in almeno 1 area pubblica pertinente dell'intera struttura.</t>
        </is>
      </c>
      <c r="F55" s="6" t="inlineStr">
        <is>
          <t>medio</t>
        </is>
      </c>
      <c r="G55" s="6" t="inlineStr">
        <is>
          <t>Alessandra Ferrara – Operations / Maintenance</t>
        </is>
      </c>
      <c r="H55" s="6" t="inlineStr"/>
      <c r="I55" s="6" t="inlineStr">
        <is>
          <t>Verificare efficienza energetica, HVAC, LED, refrigeranti, controlli automatici e registri.</t>
        </is>
      </c>
      <c r="J55" s="6" t="inlineStr">
        <is>
          <t>NO</t>
        </is>
      </c>
      <c r="K55" s="6" t="inlineStr">
        <is>
          <t>DA VERIFICARE</t>
        </is>
      </c>
      <c r="L55" s="6" t="inlineStr"/>
      <c r="M55" s="6" t="inlineStr">
        <is>
          <t>Da definire in gap audit</t>
        </is>
      </c>
      <c r="N55" s="6" t="inlineStr"/>
    </row>
    <row r="56">
      <c r="A56" s="6" t="inlineStr">
        <is>
          <t>4.3</t>
        </is>
      </c>
      <c r="B56" s="6" t="inlineStr">
        <is>
          <t>Energia</t>
        </is>
      </c>
      <c r="C56" s="6" t="inlineStr">
        <is>
          <t>La struttura dispone di una procedura automatica o manuale per spegnere le luci e le apparecchiature elettriche quando le camere degli ospiti, le proprietà in affitto e le sale riunioni non sono occupate (I)</t>
        </is>
      </c>
      <c r="D56" s="6" t="inlineStr">
        <is>
          <t>Imperativo</t>
        </is>
      </c>
      <c r="E56" s="6" t="inlineStr">
        <is>
          <t>Riorganizzazione:
- Modificato l'ordine dei capitoli (da 7 a 4)
Moderata:
- Modificato l'obiettivo da "Esiste una procedura scritta relativa al consumo energetico nelle camere e sale riunioni vuote" a "La struttura dispone di una procedura automatica o manuale per spegnere le luci e le apparecchiature elettriche non necessarie quando le camere degli ospiti, le proprietà in affitto e le sale riunioni non sono occupate."
Minore:
- Miglioramento della formulazione
Modifiche all'audit:
- Chiarito e aggiornato il processo di audit in modo che copra il contenuto del nuovo criterio e sono state fornite informazioni più dettagliate su cosa deve essere incluso nell'audit (in base all'utilizzo di procedure automatiche o manuali). Laddove vengano utilizzati sistemi manuali, la struttura presenta una copia della procedura operativa standard (SOP) per la gestione del consumo energetico nelle camere e sale riunioni vuote per brevi periodi (fino a 2 notti/giorni) e durante periodi di bassa occupazione (ad es. &lt;75%), comprese eventuali procedure per la chiusura parziale o l'ottimizzazione del sistema. In questo caso, un'ispezione visiva conferma le pratiche di risparmio energetico nelle aree non occupate.
Durante l'ispezione visiva, laddove vengano utilizzati sistemi automatici, Il revisore effettua campionamenti in almeno un immobile in affitto, una sala riunioni e nelle camere degli ospiti, seguendo la metodologia A descritta nel glossario, per confermare la presenza di un sistema automatico di spegnimento delle luci e degli apparecchi elettrici.</t>
        </is>
      </c>
      <c r="F56" s="6" t="inlineStr">
        <is>
          <t>medio</t>
        </is>
      </c>
      <c r="G56" s="6" t="inlineStr">
        <is>
          <t>Alessandra Ferrara – Operations / Maintenance</t>
        </is>
      </c>
      <c r="H56" s="6" t="inlineStr"/>
      <c r="I56" s="6" t="inlineStr">
        <is>
          <t>Verificare efficienza energetica, HVAC, LED, refrigeranti, controlli automatici e registri.</t>
        </is>
      </c>
      <c r="J56" s="6" t="inlineStr">
        <is>
          <t>NO</t>
        </is>
      </c>
      <c r="K56" s="6" t="inlineStr">
        <is>
          <t>DA VERIFICARE</t>
        </is>
      </c>
      <c r="L56" s="6" t="inlineStr"/>
      <c r="M56" s="6" t="inlineStr">
        <is>
          <t>Da definire in gap audit</t>
        </is>
      </c>
      <c r="N56" s="6" t="inlineStr"/>
    </row>
    <row r="57">
      <c r="A57" s="6" t="inlineStr">
        <is>
          <t>4.4</t>
        </is>
      </c>
      <c r="B57" s="6" t="inlineStr">
        <is>
          <t>Energia</t>
        </is>
      </c>
      <c r="C57" s="6" t="inlineStr">
        <is>
          <t>La struttura produce o acquista il 50% dell'energia utilizzata per il riscaldamento e il raffrescamento da fonti rinnovabili. (G)</t>
        </is>
      </c>
      <c r="D57" s="6" t="inlineStr">
        <is>
          <t>Guida</t>
        </is>
      </c>
      <c r="E57" s="6" t="inlineStr">
        <is>
          <t>Importante:
- Nuovo requisito (linea guida)</t>
        </is>
      </c>
      <c r="F57" s="6" t="inlineStr">
        <is>
          <t>medio</t>
        </is>
      </c>
      <c r="G57" s="6" t="inlineStr">
        <is>
          <t>Alessandra Ferrara – Operations / Maintenance</t>
        </is>
      </c>
      <c r="H57" s="6" t="inlineStr"/>
      <c r="I57" s="6" t="inlineStr">
        <is>
          <t>Verificare efficienza energetica, HVAC, LED, refrigeranti, controlli automatici e registri.</t>
        </is>
      </c>
      <c r="J57" s="6" t="inlineStr">
        <is>
          <t>NO</t>
        </is>
      </c>
      <c r="K57" s="6" t="inlineStr">
        <is>
          <t>DA VERIFICARE</t>
        </is>
      </c>
      <c r="L57" s="6" t="inlineStr"/>
      <c r="M57" s="6" t="inlineStr">
        <is>
          <t>Da definire in gap audit</t>
        </is>
      </c>
      <c r="N57" s="6" t="inlineStr"/>
    </row>
    <row r="58">
      <c r="A58" s="6" t="inlineStr">
        <is>
          <t>4.5</t>
        </is>
      </c>
      <c r="B58" s="6" t="inlineStr">
        <is>
          <t>Energia</t>
        </is>
      </c>
      <c r="C58" s="6" t="inlineStr">
        <is>
          <t>La struttura produce o acquista tutta l'energia utilizzata per il riscaldamento e il raffrescamento da fonti rinnovabili. (G)</t>
        </is>
      </c>
      <c r="D58" s="6" t="inlineStr">
        <is>
          <t>Guida</t>
        </is>
      </c>
      <c r="E58" s="6" t="inlineStr">
        <is>
          <t>Riorganizzazione:
- Modificato l'ordine dei capitoli (da 7 a 4)
Modalità moderata:
- Modificata la terminologia/l'obiettivo, da "non utilizza combustibili fossili per il riscaldamento/raffreddamento della struttura" a "La struttura dispone di una procedura automatica o manuale per spegnere le luci e le apparecchiature elettriche non necessarie quando le camere degli ospiti, le proprietà in affitto e le sale riunioni non sono occupate". Aggiunto che, laddove l'energia venga prodotta in loco, un'ispezione visiva ne conferma la presenza e la funzionalità.
Modalità minore:
- Miglioramento della formulazione
Modifiche all'audit:
- Chiarito e aggiornato il processo di audit in modo che copra il contenuto del nuovo criterio e fornite istruzioni più dettagliate sulla documentazione da includere nell'audit.</t>
        </is>
      </c>
      <c r="F58" s="6" t="inlineStr">
        <is>
          <t>Medio/basso</t>
        </is>
      </c>
      <c r="G58" s="6" t="inlineStr">
        <is>
          <t>Alessandra Ferrara – Operations / Maintenance</t>
        </is>
      </c>
      <c r="H58" s="6" t="inlineStr"/>
      <c r="I58" s="6" t="inlineStr">
        <is>
          <t>Verificare efficienza energetica, HVAC, LED, refrigeranti, controlli automatici e registri.</t>
        </is>
      </c>
      <c r="J58" s="6" t="inlineStr">
        <is>
          <t>NO</t>
        </is>
      </c>
      <c r="K58" s="6" t="inlineStr">
        <is>
          <t>DA VERIFICARE</t>
        </is>
      </c>
      <c r="L58" s="6" t="inlineStr"/>
      <c r="M58" s="6" t="inlineStr">
        <is>
          <t>Da definire in gap audit</t>
        </is>
      </c>
      <c r="N58" s="6" t="inlineStr"/>
    </row>
    <row r="59">
      <c r="A59" s="6" t="inlineStr">
        <is>
          <t>4.6</t>
        </is>
      </c>
      <c r="B59" s="6" t="inlineStr">
        <is>
          <t>Energia</t>
        </is>
      </c>
      <c r="C59" s="6" t="inlineStr">
        <is>
          <t>La struttura produce o acquista almeno il 50% di elettricità rinnovabile e/o con marchio di qualità ecologica. (G)</t>
        </is>
      </c>
      <c r="D59" s="6" t="inlineStr">
        <is>
          <t>Guida</t>
        </is>
      </c>
      <c r="E59" s="6" t="inlineStr">
        <is>
          <t>Riorganizzazione:
- Modificato l'ordine dei capitoli (da 7 a 4)
Modifiche minori:
- Miglioramento della formulazione
Modifiche all'audit:
- Sono state fornite informazioni più dettagliate sulla documentazione da includere nell'audit (contratti o certificati, l'ultima fattura e le garanzie di origine)</t>
        </is>
      </c>
      <c r="F59" s="6" t="inlineStr">
        <is>
          <t>Basso</t>
        </is>
      </c>
      <c r="G59" s="6" t="inlineStr">
        <is>
          <t>Alessandra Ferrara – Operations / Maintenance</t>
        </is>
      </c>
      <c r="H59" s="6" t="inlineStr"/>
      <c r="I59" s="6" t="inlineStr">
        <is>
          <t>Verificare efficienza energetica, HVAC, LED, refrigeranti, controlli automatici e registri.</t>
        </is>
      </c>
      <c r="J59" s="6" t="inlineStr">
        <is>
          <t>NO</t>
        </is>
      </c>
      <c r="K59" s="6" t="inlineStr">
        <is>
          <t>DA VERIFICARE</t>
        </is>
      </c>
      <c r="L59" s="6" t="inlineStr"/>
      <c r="M59" s="6" t="inlineStr">
        <is>
          <t>Da definire in gap audit</t>
        </is>
      </c>
      <c r="N59" s="6" t="inlineStr"/>
    </row>
    <row r="60">
      <c r="A60" s="6" t="inlineStr">
        <is>
          <t>4.7</t>
        </is>
      </c>
      <c r="B60" s="6" t="inlineStr">
        <is>
          <t>Energia</t>
        </is>
      </c>
      <c r="C60" s="6" t="inlineStr">
        <is>
          <t>La struttura produce o acquista esclusivamente (100%) elettricità rinnovabile e/o con marchio di qualità ecologica (ecolabel). (G)</t>
        </is>
      </c>
      <c r="D60" s="6" t="inlineStr">
        <is>
          <t>Guida</t>
        </is>
      </c>
      <c r="E60" s="6" t="inlineStr">
        <is>
          <t>Riorganizzazione:
- Modificato l'ordine dei capitoli (da 7 a 4)
Modalità moderata:
- ⓘ Adattamento nazionale: in SE questo criterio è obbligatorio per tutte le categorie. In NO, questo criterio è obbligatorio per H&amp;H.
Modalità minore:
- Miglioramento della formulazione
Modifiche all'audit:
- Sono state fornite informazioni più dettagliate sulla documentazione da includere nell'audit (contratti o certificati, fattura più recente e garanzie di origine).</t>
        </is>
      </c>
      <c r="F60" s="6" t="inlineStr">
        <is>
          <t>Basso</t>
        </is>
      </c>
      <c r="G60" s="6" t="inlineStr">
        <is>
          <t>Alessandra Ferrara – Operations / Maintenance</t>
        </is>
      </c>
      <c r="H60" s="6" t="inlineStr"/>
      <c r="I60" s="6" t="inlineStr">
        <is>
          <t>Verificare efficienza energetica, HVAC, LED, refrigeranti, controlli automatici e registri.</t>
        </is>
      </c>
      <c r="J60" s="6" t="inlineStr">
        <is>
          <t>NO</t>
        </is>
      </c>
      <c r="K60" s="6" t="inlineStr">
        <is>
          <t>DA VERIFICARE</t>
        </is>
      </c>
      <c r="L60" s="6" t="inlineStr"/>
      <c r="M60" s="6" t="inlineStr">
        <is>
          <t>Da definire in gap audit</t>
        </is>
      </c>
      <c r="N60" s="6" t="inlineStr"/>
    </row>
    <row r="61">
      <c r="A61" s="6" t="inlineStr">
        <is>
          <t>4.8</t>
        </is>
      </c>
      <c r="B61" s="6" t="inlineStr">
        <is>
          <t>Energia</t>
        </is>
      </c>
      <c r="C61" s="6" t="inlineStr">
        <is>
          <t>Almeno il 75% delle finestre è ad alta efficienza energetica con standard superiori rispetto alle normative nazionali/locali . (G)</t>
        </is>
      </c>
      <c r="D61" s="6" t="inlineStr">
        <is>
          <t>Guida</t>
        </is>
      </c>
      <c r="E61" s="6" t="inlineStr">
        <is>
          <t>Riorganizzazione:
- Modificato l'ordine dei capitoli (da 7 a 4)
Modalità moderata:
- ⓘ Adattamento nazionale: in Francia, il 75% delle finestre ha doppi vetri o un'efficienza energetica superiore e questo criterio è obbligatorio.
Modalità minore:
- Miglioramento della formulazione
Modifiche all'audit:
- Chiarimento e aggiornamento del processo di audit in modo che copra il contenuto del nuovo criterio, sono state fornite istruzioni più dettagliate su cosa deve essere incluso nell'audit e il processo di audit è stato rafforzato: i campionamenti sono ora obbligatori (metodologia B)</t>
        </is>
      </c>
      <c r="F61" s="6" t="inlineStr">
        <is>
          <t>Medio/basso</t>
        </is>
      </c>
      <c r="G61" s="6" t="inlineStr">
        <is>
          <t>Alessandra Ferrara – Operations / Maintenance</t>
        </is>
      </c>
      <c r="H61" s="6" t="inlineStr"/>
      <c r="I61" s="6" t="inlineStr">
        <is>
          <t>Verificare efficienza energetica, HVAC, LED, refrigeranti, controlli automatici e registri.</t>
        </is>
      </c>
      <c r="J61" s="6" t="inlineStr">
        <is>
          <t>NO</t>
        </is>
      </c>
      <c r="K61" s="6" t="inlineStr">
        <is>
          <t>DA VERIFICARE</t>
        </is>
      </c>
      <c r="L61" s="6" t="inlineStr"/>
      <c r="M61" s="6" t="inlineStr">
        <is>
          <t>Da definire in gap audit</t>
        </is>
      </c>
      <c r="N61" s="6" t="inlineStr"/>
    </row>
    <row r="62">
      <c r="A62" s="6" t="inlineStr">
        <is>
          <t>4.9</t>
        </is>
      </c>
      <c r="B62" s="6" t="inlineStr">
        <is>
          <t>Energia</t>
        </is>
      </c>
      <c r="C62" s="6" t="inlineStr">
        <is>
          <t>Un audit energetico esterno viene condotto almeno una volta ogni 6 anni. (G)</t>
        </is>
      </c>
      <c r="D62" s="6" t="inlineStr">
        <is>
          <t>Guida</t>
        </is>
      </c>
      <c r="E62" s="6" t="inlineStr">
        <is>
          <t>Riorganizzazione:
- Modificato l'ordine dei capitoli (da 7 a 4)
Modifiche minori:
- Miglioramento della formulazione
Modifiche all'audit:
- Aggiunta alla procedura di audit la seguente precisazione: "In circostanze specifiche, qualora la struttura si trovi all'interno di un edificio più grande e abbia un'influenza limitata sulle infrastrutture condivise, l'audit può essere limitato al consumo energetico e ai sistemi che rientrano nell'area operativa della struttura." A parte questo, non sono state apportate altre modifiche alla procedura di audit.</t>
        </is>
      </c>
      <c r="F62" s="6" t="inlineStr">
        <is>
          <t>Basso</t>
        </is>
      </c>
      <c r="G62" s="6" t="inlineStr">
        <is>
          <t>Alessandra Ferrara – Operations / Maintenance</t>
        </is>
      </c>
      <c r="H62" s="6" t="inlineStr"/>
      <c r="I62" s="6" t="inlineStr">
        <is>
          <t>Verificare efficienza energetica, HVAC, LED, refrigeranti, controlli automatici e registri.</t>
        </is>
      </c>
      <c r="J62" s="6" t="inlineStr">
        <is>
          <t>NO</t>
        </is>
      </c>
      <c r="K62" s="6" t="inlineStr">
        <is>
          <t>DA VERIFICARE</t>
        </is>
      </c>
      <c r="L62" s="6" t="inlineStr"/>
      <c r="M62" s="6" t="inlineStr">
        <is>
          <t>Da definire in gap audit</t>
        </is>
      </c>
      <c r="N62" s="6" t="inlineStr"/>
    </row>
    <row r="63">
      <c r="A63" s="6" t="inlineStr">
        <is>
          <t>4.10</t>
        </is>
      </c>
      <c r="B63" s="6" t="inlineStr">
        <is>
          <t>Energia</t>
        </is>
      </c>
      <c r="C63" s="6" t="inlineStr">
        <is>
          <t>È implementata almeno 1 misura di isolamento sostenibile. (G)</t>
        </is>
      </c>
      <c r="D63" s="6" t="inlineStr">
        <is>
          <t>Guida</t>
        </is>
      </c>
      <c r="E63" s="6" t="inlineStr">
        <is>
          <t>Importante:
- Nuovo requisito (linea guida)</t>
        </is>
      </c>
      <c r="F63" s="6" t="inlineStr">
        <is>
          <t>medio</t>
        </is>
      </c>
      <c r="G63" s="6" t="inlineStr">
        <is>
          <t>Alessandra Ferrara – Operations / Maintenance</t>
        </is>
      </c>
      <c r="H63" s="6" t="inlineStr"/>
      <c r="I63" s="6" t="inlineStr">
        <is>
          <t>Verificare efficienza energetica, HVAC, LED, refrigeranti, controlli automatici e registri.</t>
        </is>
      </c>
      <c r="J63" s="6" t="inlineStr">
        <is>
          <t>NO</t>
        </is>
      </c>
      <c r="K63" s="6" t="inlineStr">
        <is>
          <t>DA VERIFICARE</t>
        </is>
      </c>
      <c r="L63" s="6" t="inlineStr"/>
      <c r="M63" s="6" t="inlineStr">
        <is>
          <t>Da definire in gap audit</t>
        </is>
      </c>
      <c r="N63" s="6" t="inlineStr"/>
    </row>
    <row r="64">
      <c r="A64" s="6" t="inlineStr">
        <is>
          <t>4.11</t>
        </is>
      </c>
      <c r="B64" s="6" t="inlineStr">
        <is>
          <t>Energia</t>
        </is>
      </c>
      <c r="C64" s="6" t="inlineStr">
        <is>
          <t>Sono installati contatori separati in punti strategicamente importanti per il monitoraggio energetico. (G)</t>
        </is>
      </c>
      <c r="D64" s="6" t="inlineStr">
        <is>
          <t>Guida</t>
        </is>
      </c>
      <c r="E64" s="6" t="inlineStr">
        <is>
          <t>Riorganizzazione:
- Modificato l'ordine dei capitoli (da 7 a 4)
Modalità moderata:
- Ampliato il criterio, da "elettricità e gas" a "elettricità, gas o altre fonti energetiche localmente rilevanti"
Modalità minore:
- Miglioramento della formulazione
Modifiche alla procedura di audit:
- Modificata la procedura di audit come segue: "Durante l'ispezione visiva, il revisore verifica la presenza di contatori secondari e la metodologia in atto per il monitoraggio dei consumi"</t>
        </is>
      </c>
      <c r="F64" s="6" t="inlineStr">
        <is>
          <t>Basso</t>
        </is>
      </c>
      <c r="G64" s="6" t="inlineStr">
        <is>
          <t>Alessandra Ferrara – Operations / Maintenance</t>
        </is>
      </c>
      <c r="H64" s="6" t="inlineStr"/>
      <c r="I64" s="6" t="inlineStr">
        <is>
          <t>Verificare efficienza energetica, HVAC, LED, refrigeranti, controlli automatici e registri.</t>
        </is>
      </c>
      <c r="J64" s="6" t="inlineStr">
        <is>
          <t>NO</t>
        </is>
      </c>
      <c r="K64" s="6" t="inlineStr">
        <is>
          <t>DA VERIFICARE</t>
        </is>
      </c>
      <c r="L64" s="6" t="inlineStr"/>
      <c r="M64" s="6" t="inlineStr">
        <is>
          <t>Da definire in gap audit</t>
        </is>
      </c>
      <c r="N64" s="6" t="inlineStr"/>
    </row>
    <row r="65">
      <c r="A65" s="6" t="inlineStr">
        <is>
          <t>4.12</t>
        </is>
      </c>
      <c r="B65" s="6" t="inlineStr">
        <is>
          <t>Energia</t>
        </is>
      </c>
      <c r="C65" s="6" t="inlineStr">
        <is>
          <t>Sono presenti sistemi di controllo per la ventilazione, il riscaldamento e il raffrescamento ambientale. (I)</t>
        </is>
      </c>
      <c r="D65" s="6" t="inlineStr">
        <is>
          <t>Imperativo</t>
        </is>
      </c>
      <c r="E65" s="6" t="inlineStr">
        <is>
          <t>Riorganizzazione:
- Modificato l'ordine dei capitoli (da 7 a 4)
Modifiche minori:
- Miglioramento della formulazione
Modifiche all'audit:
- È stato aggiunto che, "Durante l'audit, laddove vengano utilizzati sistemi manuali, la struttura presenta le procedure scritte per il 
controllo della ventilazione, del riscaldamento e del raffrescamento, condivise con il personale pertinente." A parte questo, non sono state apportate modifiche sostanziali al processo di audit.</t>
        </is>
      </c>
      <c r="F65" s="6" t="inlineStr">
        <is>
          <t>Basso</t>
        </is>
      </c>
      <c r="G65" s="6" t="inlineStr">
        <is>
          <t>Alessandra Ferrara – Operations / Maintenance</t>
        </is>
      </c>
      <c r="H65" s="6" t="inlineStr"/>
      <c r="I65" s="6" t="inlineStr">
        <is>
          <t>Verificare efficienza energetica, HVAC, LED, refrigeranti, controlli automatici e registri.</t>
        </is>
      </c>
      <c r="J65" s="6" t="inlineStr">
        <is>
          <t>NO</t>
        </is>
      </c>
      <c r="K65" s="6" t="inlineStr">
        <is>
          <t>DA VERIFICARE</t>
        </is>
      </c>
      <c r="L65" s="6" t="inlineStr"/>
      <c r="M65" s="6" t="inlineStr">
        <is>
          <t>Da definire in gap audit</t>
        </is>
      </c>
      <c r="N65" s="6" t="inlineStr"/>
    </row>
    <row r="66">
      <c r="A66" s="6" t="inlineStr">
        <is>
          <t>4.13</t>
        </is>
      </c>
      <c r="B66" s="6" t="inlineStr">
        <is>
          <t>Energia</t>
        </is>
      </c>
      <c r="C66" s="6" t="inlineStr">
        <is>
          <t>I sistemi di ventilazione, riscaldamento e raffrescamento sono controllati almeno una volta all'anno e adeguatamente mantenuti. (I)</t>
        </is>
      </c>
      <c r="D66" s="6" t="inlineStr">
        <is>
          <t>Imperativo</t>
        </is>
      </c>
      <c r="E66" s="6" t="inlineStr">
        <is>
          <t>Riorganizzazione:
Modifica dell'ordine dei capitoli (da 7 a 4)
Modifiche minori:
- Miglioramento della formulazione
Modifiche alla revisione contabile:
- Aggiornata la formulazione relativa alla revisione contabile, ma non sono state apportate modifiche sostanziali al processo di revisione.</t>
        </is>
      </c>
      <c r="F66" s="6" t="inlineStr">
        <is>
          <t>Medio/basso</t>
        </is>
      </c>
      <c r="G66" s="6" t="inlineStr">
        <is>
          <t>Alessandra Ferrara – Operations / Maintenance</t>
        </is>
      </c>
      <c r="H66" s="6" t="inlineStr"/>
      <c r="I66" s="6" t="inlineStr">
        <is>
          <t>Verificare efficienza energetica, HVAC, LED, refrigeranti, controlli automatici e registri.</t>
        </is>
      </c>
      <c r="J66" s="6" t="inlineStr">
        <is>
          <t>NO</t>
        </is>
      </c>
      <c r="K66" s="6" t="inlineStr">
        <is>
          <t>DA VERIFICARE</t>
        </is>
      </c>
      <c r="L66" s="6" t="inlineStr"/>
      <c r="M66" s="6" t="inlineStr">
        <is>
          <t>Da definire in gap audit</t>
        </is>
      </c>
      <c r="N66" s="6" t="inlineStr"/>
    </row>
    <row r="67">
      <c r="A67" s="6" t="inlineStr">
        <is>
          <t>4.14</t>
        </is>
      </c>
      <c r="B67" s="6" t="inlineStr">
        <is>
          <t>Energia</t>
        </is>
      </c>
      <c r="C67" s="6" t="inlineStr">
        <is>
          <t>Almeno l’80% di tutte le lampadine della struttura è a LED oppure garantisce prestazioni equivalenti o superiori in termini di efficienza energetica, efficacia luminosa e durata. (I)</t>
        </is>
      </c>
      <c r="D67" s="6" t="inlineStr">
        <is>
          <t>Imperativo</t>
        </is>
      </c>
      <c r="E67" s="6" t="inlineStr">
        <is>
          <t>Riorganizzazione:
- Modificato l'ordine dei capitoli (da 7 a 4)
Importante:
- Aumentata la percentuale di lampadine sostituite dal 75% all'80%
Moderata:
- ⓘ Adeguamento nazionale: In Danimarca, Paesi Bassi e Portogallo, almeno il 90% di tutte le lampadine presenti negli esercizi commerciali sono a LED o presentano prestazioni pari o superiori in termini di efficienza energetica, efficacia luminosa e durata. In Francia, almeno l'80% di tutte le lampadine presenti negli esercizi commerciali sono a LED o presentano prestazioni pari o superiori in termini di efficienza energetica, efficacia luminosa e durata e sono classificate come efficienti dal punto di vista energetico dalle autorità nazionali.
Minore:
Miglioramento della formulazione
Modifiche all'audit:
- Il processo di audit è stato chiarito e aggiornato in modo da coprire il contenuto del nuovo criterio (80% di tutte le lampadine), sono state fornite istruzioni più dettagliate su cosa deve essere incluso nell'audit (ora sono richiesti scontrini o documenti di acquisto) e sono state incluse maggiori istruzioni sui campionamenti (metodologia A e B).</t>
        </is>
      </c>
      <c r="F67" s="6" t="inlineStr">
        <is>
          <t>Alto/medio</t>
        </is>
      </c>
      <c r="G67" s="6" t="inlineStr">
        <is>
          <t>Alessandra Ferrara – Operations / Maintenance</t>
        </is>
      </c>
      <c r="H67" s="6" t="inlineStr"/>
      <c r="I67" s="6" t="inlineStr">
        <is>
          <t>Verificare efficienza energetica, HVAC, LED, refrigeranti, controlli automatici e registri.</t>
        </is>
      </c>
      <c r="J67" s="6" t="inlineStr">
        <is>
          <t>NO</t>
        </is>
      </c>
      <c r="K67" s="6" t="inlineStr">
        <is>
          <t>DA VERIFICARE</t>
        </is>
      </c>
      <c r="L67" s="6" t="inlineStr"/>
      <c r="M67" s="6" t="inlineStr">
        <is>
          <t>Da definire in gap audit</t>
        </is>
      </c>
      <c r="N67" s="6" t="inlineStr"/>
    </row>
    <row r="68">
      <c r="A68" s="6" t="inlineStr">
        <is>
          <t>4.15</t>
        </is>
      </c>
      <c r="B68" s="6" t="inlineStr">
        <is>
          <t>Energia</t>
        </is>
      </c>
      <c r="C68" s="6" t="inlineStr">
        <is>
          <t>L'illuminazion e esterna è ridotta al minimo e/o è dotata di sensori di spegnimento automatico. (I)</t>
        </is>
      </c>
      <c r="D68" s="6" t="inlineStr">
        <is>
          <t>Imperativo</t>
        </is>
      </c>
      <c r="E68" s="6" t="inlineStr">
        <is>
          <t>Riorganizzazione:
- Modificato l'ordine dei capitoli (da 7 a 4)
Modalità moderata:
- ⓘ Adeguamento nazionale: in Francia, l'illuminazione esterna viene spenta durante il giorno laddove sia sicuro e legalmente consentito; l'illuminazione decorativa viene spenta durante le ore notturne non di punta e l'illuminazione dei percorsi è regolata tramite sensori o timer, in conformità con i requisiti di sicurezza.
Modalità minore:
- Miglioramento della formulazione
Modifiche all'audit:
- Durante l'ispezione visiva, l'auditor verifica le soluzioni illuminotecniche adottate, inclusi i tipi di sistemi di controllo e la loro collocazione nelle aree esterne. Viene verificato che le misure dichiarate per la riduzione dell'illuminazione esterna siano adeguatamente applicate</t>
        </is>
      </c>
      <c r="F68" s="6" t="inlineStr">
        <is>
          <t>Basso</t>
        </is>
      </c>
      <c r="G68" s="6" t="inlineStr">
        <is>
          <t>Alessandra Ferrara – Operations / Maintenance</t>
        </is>
      </c>
      <c r="H68" s="6" t="inlineStr"/>
      <c r="I68" s="6" t="inlineStr">
        <is>
          <t>Verificare efficienza energetica, HVAC, LED, refrigeranti, controlli automatici e registri.</t>
        </is>
      </c>
      <c r="J68" s="6" t="inlineStr">
        <is>
          <t>NO</t>
        </is>
      </c>
      <c r="K68" s="6" t="inlineStr">
        <is>
          <t>DA VERIFICARE</t>
        </is>
      </c>
      <c r="L68" s="6" t="inlineStr"/>
      <c r="M68" s="6" t="inlineStr">
        <is>
          <t>Da definire in gap audit</t>
        </is>
      </c>
      <c r="N68" s="6" t="inlineStr"/>
    </row>
    <row r="69">
      <c r="A69" s="6" t="inlineStr">
        <is>
          <t>4.16</t>
        </is>
      </c>
      <c r="B69" s="6" t="inlineStr">
        <is>
          <t>Energia</t>
        </is>
      </c>
      <c r="C69" s="6" t="inlineStr">
        <is>
          <t>I dispositivi elettronici di nuova acquisizione nella struttura sono classificati come efficienti dal punto di vista energetico</t>
        </is>
      </c>
      <c r="D69" s="6" t="inlineStr">
        <is>
          <t>Da verificare</t>
        </is>
      </c>
      <c r="E69" s="6" t="inlineStr">
        <is>
          <t>Riorganizzazione:
- Modifica dell'ordine dei capitoli (da 7 a 4)
Modalità principali:
- Rafforzamento del criterio da G a I per HH, CHP, SA
Modalità moderate:
- Modifica della dicitura "dispositivi elettrici efficienti dal punto di vista energetico" in "dispositivi classificati come efficienti dal punto di vista energetico secondo un sistema di etichettatura energetica nazionale o regionale riconosciuto".
- Adattamento nazionale: nei Paesi Bassi, questo criterio è obbligatorio per tutte le categorie.
Modalità minori:
- Miglioramento della formulazione
Modifiche all'audit:
- Chiarimento e aggiornamento del processo di audit per includere il contenuto del nuovo criterio, con istruzioni più dettagliate su cosa deve essere incluso nell'audit (in base all'opzione scelta dall'azienda), e rafforzamento del processo di audit: i richiedenti che rinnovano la certificazione devono fornire le informazioni richieste per gli ultimi 24 mesi, i richiedenti che la presentano per la prima volta per gli ultimi 12 mesi.</t>
        </is>
      </c>
      <c r="F69" s="6" t="inlineStr">
        <is>
          <t>Alto</t>
        </is>
      </c>
      <c r="G69" s="6" t="inlineStr">
        <is>
          <t>Alessandra Ferrara – Operations / Maintenance</t>
        </is>
      </c>
      <c r="H69" s="6" t="inlineStr"/>
      <c r="I69" s="6" t="inlineStr">
        <is>
          <t>Verificare efficienza energetica, HVAC, LED, refrigeranti, controlli automatici e registri.</t>
        </is>
      </c>
      <c r="J69" s="6" t="inlineStr">
        <is>
          <t>NO</t>
        </is>
      </c>
      <c r="K69" s="6" t="inlineStr">
        <is>
          <t>DA VERIFICARE</t>
        </is>
      </c>
      <c r="L69" s="6" t="inlineStr"/>
      <c r="M69" s="6" t="inlineStr">
        <is>
          <t>Da definire in gap audit</t>
        </is>
      </c>
      <c r="N69" s="6" t="inlineStr"/>
    </row>
    <row r="70">
      <c r="A70" s="6" t="inlineStr">
        <is>
          <t>4.17</t>
        </is>
      </c>
      <c r="B70" s="6" t="inlineStr">
        <is>
          <t>Energia</t>
        </is>
      </c>
      <c r="C70" s="6" t="inlineStr">
        <is>
          <t>I minibar di nuovo acquisto non hanno un consumo energetico superiore di 0,6 kWh/giorno oppure sono classificati</t>
        </is>
      </c>
      <c r="D70" s="6" t="inlineStr">
        <is>
          <t>Da verificare</t>
        </is>
      </c>
      <c r="E70" s="6" t="inlineStr">
        <is>
          <t>Riorganizzazione:
- Modificato l'ordine dei capitoli (da 7 a 4)
Modifica principale:
- Aumentato il limite da 1 kWh/giorno a 0,6 kWh/giorno. Aggiunta anche l'opzione che i minibar possano essere classificati come efficienti dal punto di vista energetico secondo un sistema di etichettatura energetica nazionale o regionale riconosciuto.
Modifica moderata:
- ⓘ Adeguamento nazionale: in Francia, Paesi Bassi, Norvegia e Svezia, i minibar di nuova acquisizione non devono avere un consumo energetico superiore a 0,3 kWh/giorno oppure devono essere classificati come efficienti dal punto di vista energetico secondo un sistema di etichettatura energetica nazionale o regionale riconosciuto.
Modifica minore:
- Miglioramento della formulazione
Modifiche all'audit:
- Chiarito e aggiornato il processo di audit in modo che copra il contenuto del nuovo criterio, sono state fornite informazioni più dettagliate su cosa deve essere incluso nell'audit e il processo di audit è stato rafforzato: i richiedenti che rinnovano la certificazione devono presentare la documentazione richiesta per gli ultimi 24 mesi, i richiedenti che la presentano per la prima volta per gli ultimi 12 mesi. È prevista un'ispezione visiva.</t>
        </is>
      </c>
      <c r="F70" s="6" t="inlineStr">
        <is>
          <t>Alto</t>
        </is>
      </c>
      <c r="G70" s="6" t="inlineStr">
        <is>
          <t>Alessandra Ferrara – Operations / Maintenance</t>
        </is>
      </c>
      <c r="H70" s="6" t="inlineStr"/>
      <c r="I70" s="6" t="inlineStr">
        <is>
          <t>Verificare efficienza energetica, HVAC, LED, refrigeranti, controlli automatici e registri.</t>
        </is>
      </c>
      <c r="J70" s="6" t="inlineStr">
        <is>
          <t>NO</t>
        </is>
      </c>
      <c r="K70" s="6" t="inlineStr">
        <is>
          <t>DA VERIFICARE</t>
        </is>
      </c>
      <c r="L70" s="6" t="inlineStr"/>
      <c r="M70" s="6" t="inlineStr">
        <is>
          <t>Da definire in gap audit</t>
        </is>
      </c>
      <c r="N70" s="6" t="inlineStr"/>
    </row>
    <row r="71">
      <c r="A71" s="6" t="inlineStr">
        <is>
          <t>4.18</t>
        </is>
      </c>
      <c r="B71" s="6" t="inlineStr">
        <is>
          <t>Energia</t>
        </is>
      </c>
      <c r="C71" s="6" t="inlineStr">
        <is>
          <t>Le apparecchiature di refrigerazione e termiche sono sottoposte a manutenzione regolare in conformità alla legislazione</t>
        </is>
      </c>
      <c r="D71" s="6" t="inlineStr">
        <is>
          <t>Da verificare</t>
        </is>
      </c>
      <c r="E71" s="6" t="inlineStr">
        <is>
          <t>Riorganizzazione:
- Modifica dell'ordine dei capitoli (da 7 a 4)
- Fusione dei vecchi punti 7.6 e 7.7
Modalità moderata
- A seguito della fusione, il nuovo requisito si concentra ora sulla manutenzione ordinaria
Modalità minore:
- Miglioramento della formulazione
Modifiche all'audit:
- Il processo di audit è stato chiarito e aggiornato in modo da coprire il contenuto del nuovo criterio; sono state fornite istruzioni più dettagliate su cosa includere nell'audit e sui campioni (metodologia A e B).</t>
        </is>
      </c>
      <c r="F71" s="6" t="inlineStr">
        <is>
          <t>medio</t>
        </is>
      </c>
      <c r="G71" s="6" t="inlineStr">
        <is>
          <t>Alessandra Ferrara – Operations / Maintenance</t>
        </is>
      </c>
      <c r="H71" s="6" t="inlineStr"/>
      <c r="I71" s="6" t="inlineStr">
        <is>
          <t>Verificare efficienza energetica, HVAC, LED, refrigeranti, controlli automatici e registri.</t>
        </is>
      </c>
      <c r="J71" s="6" t="inlineStr">
        <is>
          <t>NO</t>
        </is>
      </c>
      <c r="K71" s="6" t="inlineStr">
        <is>
          <t>DA VERIFICARE</t>
        </is>
      </c>
      <c r="L71" s="6" t="inlineStr"/>
      <c r="M71" s="6" t="inlineStr">
        <is>
          <t>Da definire in gap audit</t>
        </is>
      </c>
      <c r="N71" s="6" t="inlineStr"/>
    </row>
    <row r="72">
      <c r="A72" s="6" t="inlineStr">
        <is>
          <t>4.19</t>
        </is>
      </c>
      <c r="B72" s="6" t="inlineStr">
        <is>
          <t>Energia</t>
        </is>
      </c>
      <c r="C72" s="6" t="inlineStr">
        <is>
          <t>Le apparecchiature di refrigerazione, ventilazione, riscaldamento e raffrescamento di nuovo acquisto utilizzano refrigeranti</t>
        </is>
      </c>
      <c r="D72" s="6" t="inlineStr">
        <is>
          <t>Da verificare</t>
        </is>
      </c>
      <c r="E72" s="6" t="inlineStr">
        <is>
          <t>Riorganizzazione:
- Spostato al capitolo 4. Energia e Carbonio
Modalità moderata:
- Modificato da "pompe e impianti di refrigerazione" a "apparecchiature di refrigerazione, riscaldamento, raffreddamento e ventilazione"
Modalità minore:
- Miglioramento della formulazione
Modifiche all'audit:
- Chiarimento e aggiornamento del processo di audit per includere il contenuto del nuovo criterio e rafforzamento del processo di audit (i richiedenti che rinnovano l'iscrizione devono presentare la documentazione relativa agli ultimi 24 mesi, i richiedenti che presentano l'iscrizione per la prima volta la documentazione relativa agli ultimi 12 mesi)</t>
        </is>
      </c>
      <c r="F72" s="6" t="inlineStr">
        <is>
          <t>medio</t>
        </is>
      </c>
      <c r="G72" s="6" t="inlineStr">
        <is>
          <t>Alessandra Ferrara – Operations / Maintenance</t>
        </is>
      </c>
      <c r="H72" s="6" t="inlineStr"/>
      <c r="I72" s="6" t="inlineStr">
        <is>
          <t>Verificare efficienza energetica, HVAC, LED, refrigeranti, controlli automatici e registri.</t>
        </is>
      </c>
      <c r="J72" s="6" t="inlineStr">
        <is>
          <t>NO</t>
        </is>
      </c>
      <c r="K72" s="6" t="inlineStr">
        <is>
          <t>DA VERIFICARE</t>
        </is>
      </c>
      <c r="L72" s="6" t="inlineStr"/>
      <c r="M72" s="6" t="inlineStr">
        <is>
          <t>Da definire in gap audit</t>
        </is>
      </c>
      <c r="N72" s="6" t="inlineStr"/>
    </row>
    <row r="73">
      <c r="A73" s="6" t="inlineStr">
        <is>
          <t>4.20</t>
        </is>
      </c>
      <c r="B73" s="6" t="inlineStr">
        <is>
          <t>Energia</t>
        </is>
      </c>
      <c r="C73" s="6" t="inlineStr">
        <is>
          <t>Viene effettuato un controllo annuale delle perdite per i sistemi contenenti refrigeranti e vengono registrati i rabbocchi di</t>
        </is>
      </c>
      <c r="D73" s="6" t="inlineStr">
        <is>
          <t>Da verificare</t>
        </is>
      </c>
      <c r="E73" s="6" t="inlineStr">
        <is>
          <t>Importante:
- Nuovo requisito (imperativo)</t>
        </is>
      </c>
      <c r="F73" s="6" t="inlineStr">
        <is>
          <t>Basso</t>
        </is>
      </c>
      <c r="G73" s="6" t="inlineStr">
        <is>
          <t>Alessandra Ferrara – Operations / Maintenance</t>
        </is>
      </c>
      <c r="H73" s="6" t="inlineStr"/>
      <c r="I73" s="6" t="inlineStr">
        <is>
          <t>Verificare efficienza energetica, HVAC, LED, refrigeranti, controlli automatici e registri.</t>
        </is>
      </c>
      <c r="J73" s="6" t="inlineStr">
        <is>
          <t>NO</t>
        </is>
      </c>
      <c r="K73" s="6" t="inlineStr">
        <is>
          <t>DA VERIFICARE</t>
        </is>
      </c>
      <c r="L73" s="6" t="inlineStr"/>
      <c r="M73" s="6" t="inlineStr">
        <is>
          <t>Da definire in gap audit</t>
        </is>
      </c>
      <c r="N73" s="6" t="inlineStr"/>
    </row>
    <row r="74">
      <c r="A74" s="6" t="inlineStr">
        <is>
          <t>4.21</t>
        </is>
      </c>
      <c r="B74" s="6" t="inlineStr">
        <is>
          <t>Energia</t>
        </is>
      </c>
      <c r="C74" s="6" t="inlineStr">
        <is>
          <t>È installato un sistema di recupero del calore o del raffrescamento. (G)</t>
        </is>
      </c>
      <c r="D74" s="6" t="inlineStr">
        <is>
          <t>Guida</t>
        </is>
      </c>
      <c r="E74" s="6" t="inlineStr">
        <is>
          <t>Riorganizzazione:
- Modificato l'ordine dei capitoli (da 7 a 4)
Modalità moderata:
- Ampliato il criterio per includere "sistema di recupero del calore o del raffrescamento"
Modalità minore:
- Miglioramento della formulazione
Modifiche all'audit:
- Aggiornato il processo di audit in modo che copra il contenuto del nuovo criterio (sistema di recupero di calore o raffrescamento), ma non sono state apportate modifiche sostanziali al processo stesso</t>
        </is>
      </c>
      <c r="F74" s="6" t="inlineStr">
        <is>
          <t>Medio/basso</t>
        </is>
      </c>
      <c r="G74" s="6" t="inlineStr">
        <is>
          <t>Alessandra Ferrara – Operations / Maintenance</t>
        </is>
      </c>
      <c r="H74" s="6" t="inlineStr"/>
      <c r="I74" s="6" t="inlineStr">
        <is>
          <t>Verificare efficienza energetica, HVAC, LED, refrigeranti, controlli automatici e registri.</t>
        </is>
      </c>
      <c r="J74" s="6" t="inlineStr">
        <is>
          <t>NO</t>
        </is>
      </c>
      <c r="K74" s="6" t="inlineStr">
        <is>
          <t>DA VERIFICARE</t>
        </is>
      </c>
      <c r="L74" s="6" t="inlineStr"/>
      <c r="M74" s="6" t="inlineStr">
        <is>
          <t>Da definire in gap audit</t>
        </is>
      </c>
      <c r="N74" s="6" t="inlineStr"/>
    </row>
    <row r="75">
      <c r="A75" s="6" t="inlineStr">
        <is>
          <t>4.22</t>
        </is>
      </c>
      <c r="B75" s="6" t="inlineStr">
        <is>
          <t>Energia</t>
        </is>
      </c>
      <c r="C75" s="6" t="inlineStr">
        <is>
          <t>La ventilazione, il riscaldamento e/o il raffrescamento sono controllati in base alla domanda. (G)</t>
        </is>
      </c>
      <c r="D75" s="6" t="inlineStr">
        <is>
          <t>Guida</t>
        </is>
      </c>
      <c r="E75" s="6" t="inlineStr">
        <is>
          <t>Importante:
- Nuovo requisito (linea guida)</t>
        </is>
      </c>
      <c r="F75" s="6" t="inlineStr">
        <is>
          <t>medio</t>
        </is>
      </c>
      <c r="G75" s="6" t="inlineStr">
        <is>
          <t>Alessandra Ferrara – Operations / Maintenance</t>
        </is>
      </c>
      <c r="H75" s="6" t="inlineStr"/>
      <c r="I75" s="6" t="inlineStr">
        <is>
          <t>Verificare efficienza energetica, HVAC, LED, refrigeranti, controlli automatici e registri.</t>
        </is>
      </c>
      <c r="J75" s="6" t="inlineStr">
        <is>
          <t>NO</t>
        </is>
      </c>
      <c r="K75" s="6" t="inlineStr">
        <is>
          <t>DA VERIFICARE</t>
        </is>
      </c>
      <c r="L75" s="6" t="inlineStr"/>
      <c r="M75" s="6" t="inlineStr">
        <is>
          <t>Da definire in gap audit</t>
        </is>
      </c>
      <c r="N75" s="6" t="inlineStr"/>
    </row>
    <row r="76">
      <c r="A76" s="6" t="inlineStr">
        <is>
          <t>4.23</t>
        </is>
      </c>
      <c r="B76" s="6" t="inlineStr">
        <is>
          <t>Energia</t>
        </is>
      </c>
      <c r="C76" s="6" t="inlineStr">
        <is>
          <t>I sistemi di riscaldamento, raffrescamento e ventilazione si spengono automaticamente in tutte le stanze quando le finestre e/o le porte sono aperte. (G)</t>
        </is>
      </c>
      <c r="D76" s="6" t="inlineStr">
        <is>
          <t>Guida</t>
        </is>
      </c>
      <c r="E76" s="6" t="inlineStr">
        <is>
          <t>Riorganizzazione:
- Modificato l'ordine dei capitoli (da 7 a 4)
Molto importante:
Rafforzato dal 75% a tutte le stanze.
Modificato:
- Modificato in modo da non essere più applicabile a CHP e A
Modificato:
- Miglioramento della formulazione
Modifiche all'audit:
- Chiarito e aggiornato il processo di audit in modo che copra il contenuto del nuovo criterio (tutte le stanze), e sono state fornite istruzioni su come e dove effettuare i campionamenti (metodologia A e B)</t>
        </is>
      </c>
      <c r="F76" s="6" t="inlineStr">
        <is>
          <t>medio</t>
        </is>
      </c>
      <c r="G76" s="6" t="inlineStr">
        <is>
          <t>Alessandra Ferrara – Operations / Maintenance</t>
        </is>
      </c>
      <c r="H76" s="6" t="inlineStr"/>
      <c r="I76" s="6" t="inlineStr">
        <is>
          <t>Verificare efficienza energetica, HVAC, LED, refrigeranti, controlli automatici e registri.</t>
        </is>
      </c>
      <c r="J76" s="6" t="inlineStr">
        <is>
          <t>NO</t>
        </is>
      </c>
      <c r="K76" s="6" t="inlineStr">
        <is>
          <t>DA VERIFICARE</t>
        </is>
      </c>
      <c r="L76" s="6" t="inlineStr"/>
      <c r="M76" s="6" t="inlineStr">
        <is>
          <t>Da definire in gap audit</t>
        </is>
      </c>
      <c r="N76" s="6" t="inlineStr"/>
    </row>
    <row r="77">
      <c r="A77" s="6" t="inlineStr">
        <is>
          <t>4.24</t>
        </is>
      </c>
      <c r="B77" s="6" t="inlineStr">
        <is>
          <t>Energia</t>
        </is>
      </c>
      <c r="C77" s="6" t="inlineStr">
        <is>
          <t>Tutti i corpi illuminanti nelle aree comuni e del personale sono dotati di sensori di movimento, timer o vengono ridotti quando gli spazi non sono occupati. (G)</t>
        </is>
      </c>
      <c r="D77" s="6" t="inlineStr">
        <is>
          <t>Guida</t>
        </is>
      </c>
      <c r="E77" s="6" t="inlineStr">
        <is>
          <t>Riorganizzazione:
- Modificato l'ordine dei capitoli (da 7 a 4)
Modalità principale:
- Rinforzato dal 75% a tutti gli apparecchi di illuminazione.
Modalità moderata:
- ⓘ Adattamento nazionale: in Francia, questo criterio è obbligatorio per HH, CHP e R nei corridoi, nelle scale e nei bagni pubblici, ove sia sicuro, legale, tecnicamente e finanziariamente possibile.
Modalità minore:
- Miglioramento della formulazione
Modifiche all'audit:
- Chiarito e aggiornato il processo di audit in modo che copra il contenuto del nuovo criterio (tutti gli apparecchi di illuminazione), sono state fornite istruzioni più dettagliate sulla documentazione da includere nell'audit (tipo di controllo installato e tecnologia di controllo utilizzata) e il processo di audit è stato rafforzato: i campionamenti sono ora obbligatori (metodologia A).</t>
        </is>
      </c>
      <c r="F77" s="6" t="inlineStr">
        <is>
          <t>Basso</t>
        </is>
      </c>
      <c r="G77" s="6" t="inlineStr">
        <is>
          <t>Alessandra Ferrara – Operations / Maintenance</t>
        </is>
      </c>
      <c r="H77" s="6" t="inlineStr"/>
      <c r="I77" s="6" t="inlineStr">
        <is>
          <t>Verificare efficienza energetica, HVAC, LED, refrigeranti, controlli automatici e registri.</t>
        </is>
      </c>
      <c r="J77" s="6" t="inlineStr">
        <is>
          <t>NO</t>
        </is>
      </c>
      <c r="K77" s="6" t="inlineStr">
        <is>
          <t>DA VERIFICARE</t>
        </is>
      </c>
      <c r="L77" s="6" t="inlineStr"/>
      <c r="M77" s="6" t="inlineStr">
        <is>
          <t>Da definire in gap audit</t>
        </is>
      </c>
      <c r="N77" s="6" t="inlineStr"/>
    </row>
    <row r="78">
      <c r="A78" s="6" t="inlineStr">
        <is>
          <t>4.25</t>
        </is>
      </c>
      <c r="B78" s="6" t="inlineStr">
        <is>
          <t>Energia</t>
        </is>
      </c>
      <c r="C78" s="6" t="inlineStr">
        <is>
          <t>I minibar o mini-frigoriferi sono assenti in almeno il 90% delle camere degli ospiti. (G)</t>
        </is>
      </c>
      <c r="D78" s="6" t="inlineStr">
        <is>
          <t>Guida</t>
        </is>
      </c>
      <c r="E78" s="6" t="inlineStr">
        <is>
          <t>Riorganizzazione:
- Modificato l'ordine dei capitoli (da 7 a 4)
Modalità principale:
- Aumentata la percentuale di camere coperte dal 75% al ​​90%.
Modalità moderata:
- Aggiunti i "mini frigoriferi" ai criteri.
-ⓘ Adattamento nazionale: In Belgio, Danimarca, Finlandia, Francia, Paesi Bassi e Portogallo, i minibar e i mini frigoriferi sono assenti in tutte le camere.
Modalità minore:
- Miglioramento della formulazione
Modifiche all'audit:
- Chiarito e aggiornato il processo di audit in modo che copra il contenuto del nuovo criterio (90% e mini frigoriferi), fornite istruzioni più dettagliate su cosa deve essere incluso nell'audit e rafforzato il processo di audit: i campionamenti sono ora obbligatori. Aggiunto che, laddove l'energia venga prodotta in loco, un'ispezione visiva conferma la presenza e la funzionalità degli impianti.</t>
        </is>
      </c>
      <c r="F78" s="6" t="inlineStr">
        <is>
          <t>Alto</t>
        </is>
      </c>
      <c r="G78" s="6" t="inlineStr">
        <is>
          <t>Alessandra Ferrara – Operations / Maintenance</t>
        </is>
      </c>
      <c r="H78" s="6" t="inlineStr"/>
      <c r="I78" s="6" t="inlineStr">
        <is>
          <t>Verificare efficienza energetica, HVAC, LED, refrigeranti, controlli automatici e registri.</t>
        </is>
      </c>
      <c r="J78" s="6" t="inlineStr">
        <is>
          <t>NO</t>
        </is>
      </c>
      <c r="K78" s="6" t="inlineStr">
        <is>
          <t>DA VERIFICARE</t>
        </is>
      </c>
      <c r="L78" s="6" t="inlineStr"/>
      <c r="M78" s="6" t="inlineStr">
        <is>
          <t>Da definire in gap audit</t>
        </is>
      </c>
      <c r="N78" s="6" t="inlineStr"/>
    </row>
    <row r="79">
      <c r="A79" s="6" t="inlineStr">
        <is>
          <t>4.26</t>
        </is>
      </c>
      <c r="B79" s="6" t="inlineStr">
        <is>
          <t>Energia</t>
        </is>
      </c>
      <c r="C79" s="6" t="inlineStr">
        <is>
          <t>La struttura offre l'accesso alla ricarica di veicoli elettrici. (G)</t>
        </is>
      </c>
      <c r="D79" s="6" t="inlineStr">
        <is>
          <t>Guida</t>
        </is>
      </c>
      <c r="E79" s="6" t="inlineStr">
        <is>
          <t>Riorganizzazione:
- Modificato l'ordine dei capitoli (da 7 a 4)
Modifiche minori:
- Miglioramento della formulazione
Modifiche alla revisione contabile:
- Aggiornata la formulazione relativa alla revisione contabile, ma non sono state apportate modifiche al processo di revisione.</t>
        </is>
      </c>
      <c r="F79" s="6" t="inlineStr">
        <is>
          <t>Basso</t>
        </is>
      </c>
      <c r="G79" s="6" t="inlineStr">
        <is>
          <t>Alessandra Ferrara – Operations / Maintenance</t>
        </is>
      </c>
      <c r="H79" s="6" t="inlineStr"/>
      <c r="I79" s="6" t="inlineStr">
        <is>
          <t>Verificare efficienza energetica, HVAC, LED, refrigeranti, controlli automatici e registri.</t>
        </is>
      </c>
      <c r="J79" s="6" t="inlineStr">
        <is>
          <t>NO</t>
        </is>
      </c>
      <c r="K79" s="6" t="inlineStr">
        <is>
          <t>DA VERIFICARE</t>
        </is>
      </c>
      <c r="L79" s="6" t="inlineStr"/>
      <c r="M79" s="6" t="inlineStr">
        <is>
          <t>Da definire in gap audit</t>
        </is>
      </c>
      <c r="N79" s="6" t="inlineStr"/>
    </row>
    <row r="80">
      <c r="A80" s="6" t="inlineStr">
        <is>
          <t>4.27</t>
        </is>
      </c>
      <c r="B80" s="6" t="inlineStr">
        <is>
          <t>Energia</t>
        </is>
      </c>
      <c r="C80" s="6" t="inlineStr">
        <is>
          <t>La struttura calcola le proprie emissioni di gas serra (GHG) Scope 1 e 2 utilizzando un sistema di misurazione del carbonio</t>
        </is>
      </c>
      <c r="D80" s="6" t="inlineStr">
        <is>
          <t>Da verificare</t>
        </is>
      </c>
      <c r="E80" s="6" t="inlineStr">
        <is>
          <t>Riorganizzazione:
- Spostato al capitolo 4. Energia e Carbonio
Modifiche principali:
- Rafforzato, ora è indicato con I per HH, CHP, CC, A
- Modificato da "impronta di carbonio" a "emissioni di gas serra di Scope 1 e 2"
- Aggiunto che il sistema di misurazione del carbonio utilizzato deve essere conforme al Protocollo sui gas serra riconosciuto a livello internazionale.
Modifiche minori:
- Miglioramento della formulazione
Modifiche all'audit:
- Aggiornato il processo di audit in modo che copra il contenuto del nuovo requisito e sono state fornite istruzioni più dettagliate su cosa includere nell'audit. Rafforzato il processo di audit aggiungendo che l'azienda deve presentare il calcolo completo dell'impronta di carbonio per l'ultimo anno di rendicontazione completo e per l'anno di rendicontazione precedente, inclusi i risultati, tutti i dati di input e il metodo o lo strumento di calcolo utilizzato. I richiedenti per la prima volta devono presentare il calcolo dell'ultimo anno di rendicontazione completo.</t>
        </is>
      </c>
      <c r="F80" s="6" t="inlineStr">
        <is>
          <t>Alto</t>
        </is>
      </c>
      <c r="G80" s="6" t="inlineStr">
        <is>
          <t>Jonathan Pezzino – Green Key</t>
        </is>
      </c>
      <c r="H80" s="6" t="inlineStr"/>
      <c r="I80" s="6" t="inlineStr">
        <is>
          <t>Calcolare Scope 1–2 GHG con metodologia documentata e baseline.</t>
        </is>
      </c>
      <c r="J80" s="6" t="inlineStr">
        <is>
          <t>NO</t>
        </is>
      </c>
      <c r="K80" s="6" t="inlineStr">
        <is>
          <t>DA VERIFICARE</t>
        </is>
      </c>
      <c r="L80" s="6" t="inlineStr"/>
      <c r="M80" s="6" t="inlineStr">
        <is>
          <t>Da definire in gap audit</t>
        </is>
      </c>
      <c r="N80" s="6" t="inlineStr"/>
    </row>
    <row r="81">
      <c r="A81" s="6" t="inlineStr">
        <is>
          <t>4.28</t>
        </is>
      </c>
      <c r="B81" s="6" t="inlineStr">
        <is>
          <t>Energia</t>
        </is>
      </c>
      <c r="C81" s="6" t="inlineStr">
        <is>
          <t>La struttura calcola e rendiconta le proprie emissioni di gas a effetto serra (GHG) Scope 3 utilizzando un sistema di misurazione del carbonio conforme al Protocollo GHG, riconosciuto a livello internazionale. (G)</t>
        </is>
      </c>
      <c r="D81" s="6" t="inlineStr">
        <is>
          <t>Guida</t>
        </is>
      </c>
      <c r="E81" s="6" t="inlineStr">
        <is>
          <t>Importante:
- Nuovo requisito (linea guida)</t>
        </is>
      </c>
      <c r="F81" s="6" t="inlineStr">
        <is>
          <t>medio</t>
        </is>
      </c>
      <c r="G81" s="6" t="inlineStr">
        <is>
          <t>Jonathan Pezzino – Green Key</t>
        </is>
      </c>
      <c r="H81" s="6" t="inlineStr"/>
      <c r="I81" s="6" t="inlineStr">
        <is>
          <t>Mappare e calcolare Scope 3 applicabile; definire priorità di riduzione.</t>
        </is>
      </c>
      <c r="J81" s="6" t="inlineStr">
        <is>
          <t>NO</t>
        </is>
      </c>
      <c r="K81" s="6" t="inlineStr">
        <is>
          <t>DA VERIFICARE</t>
        </is>
      </c>
      <c r="L81" s="6" t="inlineStr"/>
      <c r="M81" s="6" t="inlineStr">
        <is>
          <t>Da definire in gap audit</t>
        </is>
      </c>
      <c r="N81" s="6" t="inlineStr"/>
    </row>
    <row r="82">
      <c r="A82" s="6" t="inlineStr">
        <is>
          <t>4.29</t>
        </is>
      </c>
      <c r="B82" s="6" t="inlineStr">
        <is>
          <t>Energia</t>
        </is>
      </c>
      <c r="C82" s="6" t="inlineStr">
        <is>
          <t>La struttura stabilisce e riesamina annualmente un obiettivo concreto per ridurre la propria impronta di carbonio e identifica le azioni per raggiungerlo. (G)</t>
        </is>
      </c>
      <c r="D82" s="6" t="inlineStr">
        <is>
          <t>Guida</t>
        </is>
      </c>
      <c r="E82" s="6" t="inlineStr">
        <is>
          <t>Riorganizzazione:
- Spostato al capitolo 4. Energia e Carbonio
Modalità moderata:
- Modificato da "stabilisce un obiettivo" a "stabilisce e 
riesamina annualmente un obiettivo concreto per ridurre la 
propria impronta di carbonio e identifica le azioni per raggiungerlo."
- Rimossa l'opzione di un "sistema di compensazione delle emissioni di carbonio".
Modalità minore:
- Miglioramento e chiarimento della formulazione, ad esempio, è stato chiarito nel titolo del criterio che la revisione è annuale.
Modifiche all'audit:
- Aggiornata la formulazione dell'audit, aggiungendo che è richiesta la documentazione relativa alle metodologie adottate per raggiungere l'obiettivo. A parte questo, non sono state apportate modifiche sostanziali al processo di audit.</t>
        </is>
      </c>
      <c r="F82" s="6" t="inlineStr">
        <is>
          <t>medio</t>
        </is>
      </c>
      <c r="G82" s="6" t="inlineStr">
        <is>
          <t>Alessandra Ferrara – Operations / Maintenance</t>
        </is>
      </c>
      <c r="H82" s="6" t="inlineStr"/>
      <c r="I82" s="6" t="inlineStr">
        <is>
          <t>Verificare efficienza energetica, HVAC, LED, refrigeranti, controlli automatici e registri.</t>
        </is>
      </c>
      <c r="J82" s="6" t="inlineStr">
        <is>
          <t>NO</t>
        </is>
      </c>
      <c r="K82" s="6" t="inlineStr">
        <is>
          <t>DA VERIFICARE</t>
        </is>
      </c>
      <c r="L82" s="6" t="inlineStr"/>
      <c r="M82" s="6" t="inlineStr">
        <is>
          <t>Da definire in gap audit</t>
        </is>
      </c>
      <c r="N82" s="6" t="inlineStr"/>
    </row>
    <row r="83">
      <c r="A83" s="6" t="inlineStr">
        <is>
          <t>5.1</t>
        </is>
      </c>
      <c r="B83" s="6" t="inlineStr">
        <is>
          <t>Rifiuti</t>
        </is>
      </c>
      <c r="C83" s="6" t="inlineStr">
        <is>
          <t>La struttura separa i rifiuti come richiesto dalla legislazione nazionale e in ogni caso in almeno 3 categorie riciclabili; il</t>
        </is>
      </c>
      <c r="D83" s="6" t="inlineStr">
        <is>
          <t>Da verificare</t>
        </is>
      </c>
      <c r="E83" s="6" t="inlineStr">
        <is>
          <t>Riorganizzazione:
- Modificato l'ordine dei capitoli (da 6 a 5)
- Accorpamento dei vecchi punti 6.1 e 6.3, pertanto il nuovo criterio ora include "il personale riceve istruzioni chiare sulla gestione dei rifiuti".
Livello moderato:
- ⓘ Adeguamento nazionale: In Danimarca, l'azienda separa i rifiuti come previsto dalla legislazione nazionale e in ogni caso in almeno 10 categorie riciclabili. In Francia, l'azienda separa i rifiuti come previsto dalla legislazione nazionale e in ogni caso in almeno 6 categorie riciclabili.
Minore:
- Miglioramento della formulazione
Modifiche all'audit:
- Il processo di audit è stato chiarito e aggiornato in modo da coprire il contenuto del nuovo criterio (personale), sono state fornite istruzioni più dettagliate su cosa deve essere incluso nell'audit ed è stato rafforzato il processo di audit (l'azienda ora deve presentare foto di tutti i punti di smistamento dei rifiuti). Per l'ispezione visiva, l'azienda deve dimostrare che il personale è in grado di separare i rifiuti in almeno tre (3) categorie uguali in un'area aggiuntiva di back-office, oltre alla stazione di smistamento principale, e che i rifiuti sono correttamente separati secondo queste istruzioni (ciò viene verificato aprendo i contenitori per valutare la corretta separazione).</t>
        </is>
      </c>
      <c r="F83" s="6" t="inlineStr">
        <is>
          <t>medio</t>
        </is>
      </c>
      <c r="G83" s="6" t="inlineStr">
        <is>
          <t>Georgiana Radescu – Housekeeping</t>
        </is>
      </c>
      <c r="H83" s="6" t="inlineStr"/>
      <c r="I83" s="6" t="inlineStr">
        <is>
          <t>Verificare raccolta, quantificazione rifiuti/food waste, dispenser, kit, take-away e procedure.</t>
        </is>
      </c>
      <c r="J83" s="6" t="inlineStr">
        <is>
          <t>NO</t>
        </is>
      </c>
      <c r="K83" s="6" t="inlineStr">
        <is>
          <t>DA VERIFICARE</t>
        </is>
      </c>
      <c r="L83" s="6" t="inlineStr"/>
      <c r="M83" s="6" t="inlineStr">
        <is>
          <t>Da definire in gap audit</t>
        </is>
      </c>
      <c r="N83" s="6" t="inlineStr"/>
    </row>
    <row r="84">
      <c r="A84" s="6" t="inlineStr">
        <is>
          <t>5.2</t>
        </is>
      </c>
      <c r="B84" s="6" t="inlineStr">
        <is>
          <t>Rifiuti</t>
        </is>
      </c>
      <c r="C84" s="6" t="inlineStr">
        <is>
          <t>Tutte le categorie di rifiuti differenziati sono gestite individualment e dai servizi di gestione dei rifiuti locali o nazionali, da</t>
        </is>
      </c>
      <c r="D84" s="6" t="inlineStr">
        <is>
          <t>Da verificare</t>
        </is>
      </c>
      <c r="E84" s="6" t="inlineStr">
        <is>
          <t>Riorganizzazione:
- Modificato l'ordine dei capitoli (da 6 a 5)
Modifiche minori:
- Miglioramento della formulazione
Modifiche all'audit:
- Sono state fornite istruzioni più dettagliate su cosa è incluso nell'audit (istruzioni diverse a seconda delle opzioni, ad esempio se i rifiuti sono gestiti da impianti di gestione dei rifiuti locali o nazionali, da un ente privato o dagli impianti propri dell'azienda).</t>
        </is>
      </c>
      <c r="F84" s="6" t="inlineStr">
        <is>
          <t>Medio/basso</t>
        </is>
      </c>
      <c r="G84" s="6" t="inlineStr">
        <is>
          <t>Georgiana Radescu – Housekeeping</t>
        </is>
      </c>
      <c r="H84" s="6" t="inlineStr"/>
      <c r="I84" s="6" t="inlineStr">
        <is>
          <t>Verificare raccolta, quantificazione rifiuti/food waste, dispenser, kit, take-away e procedure.</t>
        </is>
      </c>
      <c r="J84" s="6" t="inlineStr">
        <is>
          <t>NO</t>
        </is>
      </c>
      <c r="K84" s="6" t="inlineStr">
        <is>
          <t>DA VERIFICARE</t>
        </is>
      </c>
      <c r="L84" s="6" t="inlineStr"/>
      <c r="M84" s="6" t="inlineStr">
        <is>
          <t>Da definire in gap audit</t>
        </is>
      </c>
      <c r="N84" s="6" t="inlineStr"/>
    </row>
    <row r="85">
      <c r="A85" s="6" t="inlineStr">
        <is>
          <t>5.3</t>
        </is>
      </c>
      <c r="B85" s="6" t="inlineStr">
        <is>
          <t>Rifiuti</t>
        </is>
      </c>
      <c r="C85" s="6" t="inlineStr">
        <is>
          <t>La struttura offre ai suoi ospiti mezzi pratici per separare i rifiuti in almeno 3 categorie. (I)</t>
        </is>
      </c>
      <c r="D85" s="6" t="inlineStr">
        <is>
          <t>Imperativo</t>
        </is>
      </c>
      <c r="E85" s="6" t="inlineStr">
        <is>
          <t>Riorganizzazione:
- Modificato l'ordine dei capitoli (da 6 a 5)
Modifica importante:
- Rinforzato da (G) a (I)
- Modificato in modo da non essere più applicabile a R
- Rinforzato in modo che l'ospite debba essere in grado di separare i rifiuti in almeno tre categorie.
Modifica moderata:
- Chiarito che la possibilità di differenziare i rifiuti è prevista in almeno un'area pubblica principale strategica, come la hall, la sala conferenze/sala conferenze, i corridoi, i ristoranti.
ⓘ Adattamento nazionale: In Danimarca e Francia, poiché la legislazione richiede alle strutture di separare più di tre (3) categorie di rifiuti, agli ospiti vengono offerte le stesse opzioni di separazione.
Modifica minore:
- Miglioramento della formulazione
Modifiche all'audit:
- Chiarito e aggiornato il processo di audit in modo che copra il contenuto del nuovo criterio (3 categorie) e sono state fornite istruzioni più dettagliate su cosa deve essere incluso nell'ispezione visiva.</t>
        </is>
      </c>
      <c r="F85" s="6" t="inlineStr">
        <is>
          <t>Alto</t>
        </is>
      </c>
      <c r="G85" s="6" t="inlineStr">
        <is>
          <t>Georgiana Radescu – Housekeeping</t>
        </is>
      </c>
      <c r="H85" s="6" t="inlineStr"/>
      <c r="I85" s="6" t="inlineStr">
        <is>
          <t>Verificare raccolta, quantificazione rifiuti/food waste, dispenser, kit, take-away e procedure.</t>
        </is>
      </c>
      <c r="J85" s="6" t="inlineStr">
        <is>
          <t>NO</t>
        </is>
      </c>
      <c r="K85" s="6" t="inlineStr">
        <is>
          <t>DA VERIFICARE</t>
        </is>
      </c>
      <c r="L85" s="6" t="inlineStr"/>
      <c r="M85" s="6" t="inlineStr">
        <is>
          <t>Da definire in gap audit</t>
        </is>
      </c>
      <c r="N85" s="6" t="inlineStr"/>
    </row>
    <row r="86">
      <c r="A86" s="6" t="inlineStr">
        <is>
          <t>5.4</t>
        </is>
      </c>
      <c r="B86" s="6" t="inlineStr">
        <is>
          <t>Rifiuti</t>
        </is>
      </c>
      <c r="C86" s="6" t="inlineStr">
        <is>
          <t>Sostanze chimiche e rifiuti pericolosi sono gestiti, stoccati e trasportati in modo sicuro verso un impianto di raccolta autorizzato. (I)</t>
        </is>
      </c>
      <c r="D86" s="6" t="inlineStr">
        <is>
          <t>Imperativo</t>
        </is>
      </c>
      <c r="E86" s="6" t="inlineStr">
        <is>
          <t>Riorganizzazione:
- Modifica dell'ordine dei capitoli (dal 6 al 5)
- Fusione dei vecchi punti 6.6 e 6.7
Modalità moderata:
- A seguito della fusione, il nuovo requisito ora include "gestione, stoccaggio e trasporto in sicurezza"
Modalità minore:
- Miglioramento della formulazione
Modifiche all'audit:
- Chiarimento e aggiornamento del processo di audit in modo che copra il contenuto del nuovo criterio, sono state fornite istruzioni più dettagliate su cosa includere nell'audit in base alle diverse opzioni e il processo di audit è stato rafforzato in modo che ora sia obbligatorio fornire la documentazione scritta. È stato aggiunto che un'ispezione visiva conferma l'adeguatezza e la durabilità dei contenitori separati per i diversi tipi di sostanze chimiche e rifiuti solidi/liquidi pericolosi e che non vi siano perdite da tali contenitori.</t>
        </is>
      </c>
      <c r="F86" s="6" t="inlineStr">
        <is>
          <t>medio</t>
        </is>
      </c>
      <c r="G86" s="6" t="inlineStr">
        <is>
          <t>Georgiana Radescu – Housekeeping</t>
        </is>
      </c>
      <c r="H86" s="6" t="inlineStr"/>
      <c r="I86" s="6" t="inlineStr">
        <is>
          <t>Verificare raccolta, quantificazione rifiuti/food waste, dispenser, kit, take-away e procedure.</t>
        </is>
      </c>
      <c r="J86" s="6" t="inlineStr">
        <is>
          <t>NO</t>
        </is>
      </c>
      <c r="K86" s="6" t="inlineStr">
        <is>
          <t>DA VERIFICARE</t>
        </is>
      </c>
      <c r="L86" s="6" t="inlineStr"/>
      <c r="M86" s="6" t="inlineStr">
        <is>
          <t>Da definire in gap audit</t>
        </is>
      </c>
      <c r="N86" s="6" t="inlineStr"/>
    </row>
    <row r="87">
      <c r="A87" s="6" t="inlineStr">
        <is>
          <t>5.5</t>
        </is>
      </c>
      <c r="B87" s="6" t="inlineStr">
        <is>
          <t>Rifiuti</t>
        </is>
      </c>
      <c r="C87" s="6" t="inlineStr">
        <is>
          <t>Un cestino dei rifiuti è disponibile vicino a ogni WC. (I)</t>
        </is>
      </c>
      <c r="D87" s="6" t="inlineStr">
        <is>
          <t>Imperativo</t>
        </is>
      </c>
      <c r="E87" s="6" t="inlineStr">
        <is>
          <t>Riorganizzazione:
- Modificato l'ordine dei capitoli (da 6 a 5)
Modalità moderata:
- Modificata la frase "ogni bagno è dotato di un cestino per i rifiuti" in "Un cestino dei rifiuti è disponibile vicino a ogni WC."
Modalità minore:
- Miglioramento della formulazione
Modifiche all'audit:
- Aggiornata la procedura di audit in modo che includa il contenuto del nuovo criterio e aggiunte istruzioni su dove e quanti campionamenti devono essere effettuati (metodologia A e B).</t>
        </is>
      </c>
      <c r="F87" s="6" t="inlineStr">
        <is>
          <t>Medio/Basso</t>
        </is>
      </c>
      <c r="G87" s="6" t="inlineStr">
        <is>
          <t>Georgiana Radescu – Housekeeping</t>
        </is>
      </c>
      <c r="H87" s="6" t="inlineStr"/>
      <c r="I87" s="6" t="inlineStr">
        <is>
          <t>Verificare raccolta, quantificazione rifiuti/food waste, dispenser, kit, take-away e procedure.</t>
        </is>
      </c>
      <c r="J87" s="6" t="inlineStr">
        <is>
          <t>NO</t>
        </is>
      </c>
      <c r="K87" s="6" t="inlineStr">
        <is>
          <t>DA VERIFICARE</t>
        </is>
      </c>
      <c r="L87" s="6" t="inlineStr"/>
      <c r="M87" s="6" t="inlineStr">
        <is>
          <t>Da definire in gap audit</t>
        </is>
      </c>
      <c r="N87" s="6" t="inlineStr"/>
    </row>
    <row r="88">
      <c r="A88" s="6" t="inlineStr">
        <is>
          <t>5.6</t>
        </is>
      </c>
      <c r="B88" s="6" t="inlineStr">
        <is>
          <t>Rifiuti</t>
        </is>
      </c>
      <c r="C88" s="6" t="inlineStr">
        <is>
          <t>La struttura registra la quantità totale di rifiuti, dei rifiuti residui/ indifferenziati e dei rifiuti alimentari. (I/G)</t>
        </is>
      </c>
      <c r="D88" s="6" t="inlineStr">
        <is>
          <t>Da verificare</t>
        </is>
      </c>
      <c r="E88" s="6" t="inlineStr">
        <is>
          <t>Riorganizzazione:
- Modifica dell'ordine dei capitoli (da 6 a 5)
- Fusione dei vecchi punti 6.10 e 8.6
Modalità principali:
- Rafforzamento dei requisiti R e A da G a I
Modalità moderate:
- A seguito della fusione, il nuovo requisito ora include "quantità totale di rifiuti, dei rifiuti residui/indifferenziati e dei rifiuti alimentari."
- ⓘAdattamenti nazionali: In Francia, Portogallo, Finlandia e Danimarca, l'azienda registra la quantità totale di rifiuti, rifiuti residui/misti, rifiuti alimentari e rifiuti riciclabili. In Danimarca e Finlandia, l'azienda specifica inoltre ogni frazione/tipologia di rifiuto riciclabile.
Modalità minori:
- Miglioramento della formulazione
Modifiche all'audit:
- Chiarimento e aggiornamento del processo di audit in modo che copra il contenuto del nuovo criterio, sono state fornite istruzioni più dettagliate su cosa deve essere incluso nell'audit e il processo di audit è stato rafforzato: l'azienda presenta i dati mensili e annuali sui rifiuti per i flussi di rifiuti richiesti sopra, mostrando chiaramente come è stato calcolato il totale dei rifiuti. Sono state aggiunte istruzioni su cosa l'esercizio commerciale deve fare in circostanze particolari. È stato inoltre specificato che, ove opportuno, l'ispezione visiva conferma le pratiche di raccolta e misurazione dei rifiuti in loco.</t>
        </is>
      </c>
      <c r="F88" s="6" t="inlineStr">
        <is>
          <t>medio</t>
        </is>
      </c>
      <c r="G88" s="6" t="inlineStr">
        <is>
          <t>Georgiana Radescu – Housekeeping</t>
        </is>
      </c>
      <c r="H88" s="6" t="inlineStr"/>
      <c r="I88" s="6" t="inlineStr">
        <is>
          <t>Verificare raccolta, quantificazione rifiuti/food waste, dispenser, kit, take-away e procedure.</t>
        </is>
      </c>
      <c r="J88" s="6" t="inlineStr">
        <is>
          <t>NO</t>
        </is>
      </c>
      <c r="K88" s="6" t="inlineStr">
        <is>
          <t>DA VERIFICARE</t>
        </is>
      </c>
      <c r="L88" s="6" t="inlineStr"/>
      <c r="M88" s="6" t="inlineStr">
        <is>
          <t>Da definire in gap audit</t>
        </is>
      </c>
      <c r="N88" s="6" t="inlineStr"/>
    </row>
    <row r="89">
      <c r="A89" s="6" t="inlineStr">
        <is>
          <t>5.7</t>
        </is>
      </c>
      <c r="B89" s="6" t="inlineStr">
        <is>
          <t>Rifiuti</t>
        </is>
      </c>
      <c r="C89" s="6" t="inlineStr">
        <is>
          <t>I rifiuti organici vengono compostati o utilizzati per altri scopi. (G)</t>
        </is>
      </c>
      <c r="D89" s="6" t="inlineStr">
        <is>
          <t>Guida</t>
        </is>
      </c>
      <c r="E89" s="6" t="inlineStr">
        <is>
          <t>Riorganizzazione:
- Modificato l'ordine dei capitoli (da 6 a 5)
Moderata:
- Aggiunto che l'azienda adotta almeno uno dei seguenti approcci per la gestione dei rifiuti organici: i rifiuti organici vengono compostati in loco; i rifiuti organici vengono raccolti da un fornitore esterno per il compostaggio, la produzione di biogas o altre forme di trattamento ecocompatibile; oppure gli scarti alimentari e altri rifiuti organici idonei vengono raccolti e distribuiti alle aziende agricole locali per essere utilizzati come mangime per animali.
- Adattamento nazionale: nel FR, questo criterio è obbligatorio.
Minore:
- Miglioramento della formulazione
Modifiche all'audit:
- Sono state fornite istruzioni più dettagliate su cosa deve essere incluso nell'audit (in base all'opzione scelta dall'azienda)</t>
        </is>
      </c>
      <c r="F89" s="6" t="inlineStr">
        <is>
          <t>Basso</t>
        </is>
      </c>
      <c r="G89" s="6" t="inlineStr">
        <is>
          <t>Alessandra Ferrara – Operations / Maintenance</t>
        </is>
      </c>
      <c r="H89" s="6" t="inlineStr"/>
      <c r="I89" s="6" t="inlineStr">
        <is>
          <t>Verificare raccolta, quantificazione rifiuti/food waste, dispenser, kit, take-away e procedure.</t>
        </is>
      </c>
      <c r="J89" s="6" t="inlineStr">
        <is>
          <t>NO</t>
        </is>
      </c>
      <c r="K89" s="6" t="inlineStr">
        <is>
          <t>DA VERIFICARE</t>
        </is>
      </c>
      <c r="L89" s="6" t="inlineStr"/>
      <c r="M89" s="6" t="inlineStr">
        <is>
          <t>Da definire in gap audit</t>
        </is>
      </c>
      <c r="N89" s="6" t="inlineStr"/>
    </row>
    <row r="90">
      <c r="A90" s="6" t="inlineStr">
        <is>
          <t>5.8</t>
        </is>
      </c>
      <c r="B90" s="6" t="inlineStr">
        <is>
          <t>Rifiuti</t>
        </is>
      </c>
      <c r="C90" s="6" t="inlineStr">
        <is>
          <t>Nessun articolo monouso per il servizio alimentare viene utilizzato per i servizi F&amp;B interni. (I)</t>
        </is>
      </c>
      <c r="D90" s="6" t="inlineStr">
        <is>
          <t>Imperativo</t>
        </is>
      </c>
      <c r="E90" s="6" t="inlineStr">
        <is>
          <t>Riorganizzazione:
- Modificato l'ordine dei capitoli (da 6 a 5)
Moderata:
- Modificata in modo che il criterio riguardi esclusivamente i "servizi di ristorazione interni".
- Aggiunto che gli articoli monouso possono essere forniti solo per l'asporto (ad esempio caffè/tè/cibo da asporto, sacchetti per la colazione, per buffet con più di 100 ospiti e in casi eccezionali in cui problemi di sicurezza o normative locali in materia di sicurezza ne richiedano l'uso (ad esempio aree piscina, ambienti in cui l'igiene è fondamentale)).
- ⓘ Adattamento nazionale: in Svezia e Francia non vengono utilizzate alternative alla plastica biodegradabile o compostabile certificate (anche se verificate da un organismo di certificazione esterno o di terze parti). Gli articoli da asporto sono realizzati esclusivamente con materiali non plastici come carta (preferibilmente senza rivestimento in plastica), cartone, legno, amido di mais o altri materiali biodegradabili di origine vegetale.
Minore:
- Miglioramento della formulazione
Modifiche all'audit:
- Chiarimento e aggiornamento del processo di audit in modo che copra il contenuto del nuovo criterio, e sono state fornite istruzioni più dettagliate sui campionamenti e sulle procedure di audit per i prodotti da asporto.</t>
        </is>
      </c>
      <c r="F90" s="6" t="inlineStr">
        <is>
          <t>medio</t>
        </is>
      </c>
      <c r="G90" s="6" t="inlineStr">
        <is>
          <t>Georgiana Radescu – Housekeeping</t>
        </is>
      </c>
      <c r="H90" s="6" t="inlineStr"/>
      <c r="I90" s="6" t="inlineStr">
        <is>
          <t>Verificare raccolta, quantificazione rifiuti/food waste, dispenser, kit, take-away e procedure.</t>
        </is>
      </c>
      <c r="J90" s="6" t="inlineStr">
        <is>
          <t>NO</t>
        </is>
      </c>
      <c r="K90" s="6" t="inlineStr">
        <is>
          <t>DA VERIFICARE</t>
        </is>
      </c>
      <c r="L90" s="6" t="inlineStr"/>
      <c r="M90" s="6" t="inlineStr">
        <is>
          <t>Da definire in gap audit</t>
        </is>
      </c>
      <c r="N90" s="6" t="inlineStr"/>
    </row>
    <row r="91">
      <c r="A91" s="6" t="inlineStr">
        <is>
          <t>5.9</t>
        </is>
      </c>
      <c r="B91" s="6" t="inlineStr">
        <is>
          <t>Rifiuti</t>
        </is>
      </c>
      <c r="C91" s="6" t="inlineStr">
        <is>
          <t>Non più di 5 tipologie di prodotti F&amp;B per offerta di ristorazione sono in confezioni monodose individuali. (I)</t>
        </is>
      </c>
      <c r="D91" s="6" t="inlineStr">
        <is>
          <t>Imperativo</t>
        </is>
      </c>
      <c r="E91" s="6" t="inlineStr">
        <is>
          <t>Riorganizzazione:
- Modificato l'ordine dei capitoli (da 6 a 5)
Modalità moderata:
- Modificato in "Non più di 5 tipologie di prodotti F&amp;B per offerta di 
ristorazione sono in confezioni monodose individuali."
ⓘ Adattamento nazionale: Nei Paesi Bassi, oltre ai requisiti sopra elencati, non è consentita l'offerta dei seguenti cinque tipi di prodotti alimentari e bevande in porzioni monodose confezionate singolarmente: muesli, cornflakes, formaggio, prodotti a base di carne (ad es. prosciutto), caffè-latte, latte e yogurt.
Modifica minore:
- Miglioramento della formulazione
Modifiche all'audit:
- Aggiornata la procedura di audit in modo che copra il contenuto del nuovo criterio e aggiunta la condizione che, durante l'ispezione visiva, l'auditor confermi che non vi siano più di 5 tipi di prodotti alimentari e bevande in porzioni monodose confezionate singolarmente per offerta di ristorazione nell'esercizio.</t>
        </is>
      </c>
      <c r="F91" s="6" t="inlineStr">
        <is>
          <t>medio</t>
        </is>
      </c>
      <c r="G91" s="6" t="inlineStr">
        <is>
          <t>Georgiana Radescu – Housekeeping</t>
        </is>
      </c>
      <c r="H91" s="6" t="inlineStr"/>
      <c r="I91" s="6" t="inlineStr">
        <is>
          <t>Verificare raccolta, quantificazione rifiuti/food waste, dispenser, kit, take-away e procedure.</t>
        </is>
      </c>
      <c r="J91" s="6" t="inlineStr">
        <is>
          <t>NO</t>
        </is>
      </c>
      <c r="K91" s="6" t="inlineStr">
        <is>
          <t>DA VERIFICARE</t>
        </is>
      </c>
      <c r="L91" s="6" t="inlineStr"/>
      <c r="M91" s="6" t="inlineStr">
        <is>
          <t>Da definire in gap audit</t>
        </is>
      </c>
      <c r="N91" s="6" t="inlineStr"/>
    </row>
    <row r="92">
      <c r="A92" s="6" t="inlineStr">
        <is>
          <t>5.10</t>
        </is>
      </c>
      <c r="B92" s="6" t="inlineStr">
        <is>
          <t>Rifiuti</t>
        </is>
      </c>
      <c r="C92" s="6" t="inlineStr">
        <is>
          <t>Sapone, shampoo, balsamo e gel doccia sono forniti in dispenser. (I)</t>
        </is>
      </c>
      <c r="D92" s="6" t="inlineStr">
        <is>
          <t>Imperativo</t>
        </is>
      </c>
      <c r="E92" s="6" t="inlineStr">
        <is>
          <t>Riorganizzazione:
- Modificato l'ordine dei capitoli (da 6 a 5)
Modifiche principali:
- Rafforzato il requisito I per tutti.
Modifiche minori:
- Rimossa la dicitura "Prodotti da bagno come...", aggiunto "balsamo" nel titolo del requisito.
- Miglioramento della formulazione.
Modifiche all'audit:
- Chiarito e aggiornato il processo di audit in modo che copra il contenuto del nuovo criterio, fornite istruzioni più dettagliate su cosa deve essere incluso nell'audit e rafforzato il processo di audit (per includere sia una maggiore documentazione che l'ispezione visiva con campionamenti (metodologia A))</t>
        </is>
      </c>
      <c r="F92" s="6" t="inlineStr">
        <is>
          <t>medio</t>
        </is>
      </c>
      <c r="G92" s="6" t="inlineStr">
        <is>
          <t>Georgiana Radescu – Housekeeping</t>
        </is>
      </c>
      <c r="H92" s="6" t="inlineStr"/>
      <c r="I92" s="6" t="inlineStr">
        <is>
          <t>Verificare raccolta, quantificazione rifiuti/food waste, dispenser, kit, take-away e procedure.</t>
        </is>
      </c>
      <c r="J92" s="6" t="inlineStr">
        <is>
          <t>NO</t>
        </is>
      </c>
      <c r="K92" s="6" t="inlineStr">
        <is>
          <t>DA VERIFICARE</t>
        </is>
      </c>
      <c r="L92" s="6" t="inlineStr"/>
      <c r="M92" s="6" t="inlineStr">
        <is>
          <t>Da definire in gap audit</t>
        </is>
      </c>
      <c r="N92" s="6" t="inlineStr"/>
    </row>
    <row r="93">
      <c r="A93" s="6" t="inlineStr">
        <is>
          <t>5.11</t>
        </is>
      </c>
      <c r="B93" s="6" t="inlineStr">
        <is>
          <t>Rifiuti</t>
        </is>
      </c>
      <c r="C93" s="6" t="inlineStr">
        <is>
          <t>I vanity kit e altri articoli di cortesia monouso per gli ospiti sono disponibili al massimo nel 50% delle camere. (I)</t>
        </is>
      </c>
      <c r="D93" s="6" t="inlineStr">
        <is>
          <t>Imperativo</t>
        </is>
      </c>
      <c r="E93" s="6" t="inlineStr">
        <is>
          <t>Riorganizzazione:
- Modificato l'ordine dei capitoli (da 6 a 5)
Modifiche principali:
- Rinforzato da G a I
- Modificato da "disponibile solo su richiesta" a "disponibile solo in un massimo del 50% delle camere e altrimenti offerto su richiesta"
Modifiche moderate:
ⓘ Adattamento nazionale: In Belgio, i kit di cortesia e altri articoli monouso per gli ospiti non sono disponibili in nessuna camera.
Modifiche minori:
- Miglioramento della formulazione
Modifiche all'audit:
- Chiarito e aggiornato il processo di audit in modo che copra il contenuto del nuovo criterio (50%), rafforzato il processo di audit aggiungendo che ora è necessaria la documentazione scritta (SOP) e sono state fornite istruzioni più dettagliate su cosa deve essere incluso nell'audit, in merito ai campionamenti (metodologia A)</t>
        </is>
      </c>
      <c r="F93" s="6" t="inlineStr">
        <is>
          <t>Alto</t>
        </is>
      </c>
      <c r="G93" s="6" t="inlineStr">
        <is>
          <t>Georgiana Radescu – Housekeeping</t>
        </is>
      </c>
      <c r="H93" s="6" t="inlineStr"/>
      <c r="I93" s="6" t="inlineStr">
        <is>
          <t>Verificare raccolta, quantificazione rifiuti/food waste, dispenser, kit, take-away e procedure.</t>
        </is>
      </c>
      <c r="J93" s="6" t="inlineStr">
        <is>
          <t>NO</t>
        </is>
      </c>
      <c r="K93" s="6" t="inlineStr">
        <is>
          <t>DA VERIFICARE</t>
        </is>
      </c>
      <c r="L93" s="6" t="inlineStr"/>
      <c r="M93" s="6" t="inlineStr">
        <is>
          <t>Da definire in gap audit</t>
        </is>
      </c>
      <c r="N93" s="6" t="inlineStr"/>
    </row>
    <row r="94">
      <c r="A94" s="6" t="inlineStr">
        <is>
          <t>5.12</t>
        </is>
      </c>
      <c r="B94" s="6" t="inlineStr">
        <is>
          <t>Rifiuti</t>
        </is>
      </c>
      <c r="C94" s="6" t="inlineStr">
        <is>
          <t>Per i servizi F&amp;B da asporto, la struttura offre agli ospiti la possibilità di portare i propri contenitori o di utilizzare contenitori a rendere. (G)</t>
        </is>
      </c>
      <c r="D94" s="6" t="inlineStr">
        <is>
          <t>Guida</t>
        </is>
      </c>
      <c r="E94" s="6" t="inlineStr">
        <is>
          <t>Importante:
- Nuovo requisito (linea guida)</t>
        </is>
      </c>
      <c r="F94" s="6" t="inlineStr">
        <is>
          <t>medio</t>
        </is>
      </c>
      <c r="G94" s="6" t="inlineStr">
        <is>
          <t>Georgiana Radescu – Housekeeping</t>
        </is>
      </c>
      <c r="H94" s="6" t="inlineStr"/>
      <c r="I94" s="6" t="inlineStr">
        <is>
          <t>Verificare raccolta, quantificazione rifiuti/food waste, dispenser, kit, take-away e procedure.</t>
        </is>
      </c>
      <c r="J94" s="6" t="inlineStr">
        <is>
          <t>NO</t>
        </is>
      </c>
      <c r="K94" s="6" t="inlineStr">
        <is>
          <t>DA VERIFICARE</t>
        </is>
      </c>
      <c r="L94" s="6" t="inlineStr"/>
      <c r="M94" s="6" t="inlineStr">
        <is>
          <t>Da definire in gap audit</t>
        </is>
      </c>
      <c r="N94" s="6" t="inlineStr"/>
    </row>
    <row r="95">
      <c r="A95" s="6" t="inlineStr">
        <is>
          <t>5.13</t>
        </is>
      </c>
      <c r="B95" s="6" t="inlineStr">
        <is>
          <t>Rifiuti</t>
        </is>
      </c>
      <c r="C95" s="6" t="inlineStr">
        <is>
          <t>La biancheria da letto e da bagno non è monouso e non viene consegnata in imballaggi di plastica. (G)</t>
        </is>
      </c>
      <c r="D95" s="6" t="inlineStr">
        <is>
          <t>Guida</t>
        </is>
      </c>
      <c r="E95" s="6" t="inlineStr">
        <is>
          <t>Importante:
- Nuovo requisito (linea guida)</t>
        </is>
      </c>
      <c r="F95" s="6" t="inlineStr">
        <is>
          <t>medio</t>
        </is>
      </c>
      <c r="G95" s="6" t="inlineStr">
        <is>
          <t>Georgiana Radescu – Housekeeping</t>
        </is>
      </c>
      <c r="H95" s="6" t="inlineStr"/>
      <c r="I95" s="6" t="inlineStr">
        <is>
          <t>Verificare raccolta, quantificazione rifiuti/food waste, dispenser, kit, take-away e procedure.</t>
        </is>
      </c>
      <c r="J95" s="6" t="inlineStr">
        <is>
          <t>NO</t>
        </is>
      </c>
      <c r="K95" s="6" t="inlineStr">
        <is>
          <t>DA VERIFICARE</t>
        </is>
      </c>
      <c r="L95" s="6" t="inlineStr"/>
      <c r="M95" s="6" t="inlineStr">
        <is>
          <t>Da definire in gap audit</t>
        </is>
      </c>
      <c r="N95" s="6" t="inlineStr"/>
    </row>
    <row r="96">
      <c r="A96" s="6" t="inlineStr">
        <is>
          <t>6.1</t>
        </is>
      </c>
      <c r="B96" s="6" t="inlineStr">
        <is>
          <t>Acquisti / F&amp;B</t>
        </is>
      </c>
      <c r="C96" s="6" t="inlineStr">
        <is>
          <t>La struttura implementa e segue una politica di approvvigiona mento sostenibile che guida la selezione di beni, servizi e fornitori basandosi sulla sostenibilità ambientale, sociale e culturale. (I)</t>
        </is>
      </c>
      <c r="D96" s="6" t="inlineStr">
        <is>
          <t>Imperativo</t>
        </is>
      </c>
      <c r="E96" s="6" t="inlineStr">
        <is>
          <t>Riorganizzazione:
- Spostato al punto 6. Approvvigionamento
Modalità principale:
- Rafforzato da G a I
Modalità moderata:
- Aggiunto un elenco più dettagliato dei beni e servizi a cui si applica la politica e di cosa la politica dovrebbe includere
Modalità minore:
- Modifica della formulazione, da "politica di acquisto sostenibile" a "politica di approvvigionamento sostenibile"
- Miglioramento della formulazione
Modifiche all'audit:
- Sono state fornite istruzioni più dettagliate su cosa deve essere incluso nell'audit e il processo di audit è stato rafforzato: ora è richiesta la documentazione che dimostri che tutti i fornitori hanno ricevuto informazioni sulle aspettative nei loro confronti almeno una volta ogni due anni.</t>
        </is>
      </c>
      <c r="F96" s="6" t="inlineStr">
        <is>
          <t>Alto</t>
        </is>
      </c>
      <c r="G96" s="6" t="inlineStr">
        <is>
          <t>Vito Quarto – Executive Chef</t>
        </is>
      </c>
      <c r="H96" s="6" t="inlineStr"/>
      <c r="I96" s="6" t="inlineStr">
        <is>
          <t>Formalizzare procurement sostenibile e verificare certificazioni/fornitori.</t>
        </is>
      </c>
      <c r="J96" s="6" t="inlineStr">
        <is>
          <t>NO</t>
        </is>
      </c>
      <c r="K96" s="6" t="inlineStr">
        <is>
          <t>DA VERIFICARE</t>
        </is>
      </c>
      <c r="L96" s="6" t="inlineStr"/>
      <c r="M96" s="6" t="inlineStr">
        <is>
          <t>Da definire in gap audit</t>
        </is>
      </c>
      <c r="N96" s="6" t="inlineStr"/>
    </row>
    <row r="97">
      <c r="A97" s="6" t="inlineStr">
        <is>
          <t>6.2</t>
        </is>
      </c>
      <c r="B97" s="6" t="inlineStr">
        <is>
          <t>Acquisti / F&amp;B</t>
        </is>
      </c>
      <c r="C97" s="6" t="inlineStr">
        <is>
          <t>La struttura informa tutti i negozi e le attività gestiti da terzi presenti nella struttura sulle proprie iniziative di sostenibilità e sul programma Green Key, e li incoraggia a gestire le proprie attività nello stesso spirito. (I)</t>
        </is>
      </c>
      <c r="D97" s="6" t="inlineStr">
        <is>
          <t>Imperativo</t>
        </is>
      </c>
      <c r="E97" s="6" t="inlineStr">
        <is>
          <t>Riorganizzazione:
- Spostato al punto 6. Approvvigionamento
Modifiche principali:
- Rafforzato in modo che i criteri siano applicabili a tutti (aggiunti SA e R)
Modifiche minori:
- Miglioramento della formulazione
Modifiche all'audit:
- Aggiornata la formulazione dell'audit. Aggiunto che, in circostanze specifiche, per i servizi o le strutture gestiti e di proprietà della stessa entità dell'azienda richiedente o gestiti in base a un contratto, l'azienda deve presentare i contratti di locazione contenenti un impegno a rispettare gli standard Green Key. A parte questo, non sono state apportate modifiche sostanziali al processo di audit.</t>
        </is>
      </c>
      <c r="F97" s="6" t="inlineStr">
        <is>
          <t>Alto/Medio</t>
        </is>
      </c>
      <c r="G97" s="6" t="inlineStr">
        <is>
          <t>Vito Quarto – Executive Chef</t>
        </is>
      </c>
      <c r="H97" s="6" t="inlineStr"/>
      <c r="I97" s="6" t="inlineStr">
        <is>
          <t>Formalizzare procurement sostenibile e verificare certificazioni/fornitori.</t>
        </is>
      </c>
      <c r="J97" s="6" t="inlineStr">
        <is>
          <t>NO</t>
        </is>
      </c>
      <c r="K97" s="6" t="inlineStr">
        <is>
          <t>DA VERIFICARE</t>
        </is>
      </c>
      <c r="L97" s="6" t="inlineStr"/>
      <c r="M97" s="6" t="inlineStr">
        <is>
          <t>Da definire in gap audit</t>
        </is>
      </c>
      <c r="N97" s="6" t="inlineStr"/>
    </row>
    <row r="98">
      <c r="A98" s="6" t="inlineStr">
        <is>
          <t>6.3</t>
        </is>
      </c>
      <c r="B98" s="6" t="inlineStr">
        <is>
          <t>Acquisti / F&amp;B</t>
        </is>
      </c>
      <c r="C98" s="6" t="inlineStr">
        <is>
          <t>Almeno il 75% della carta da stampa, delle buste e dei materiali cartacei prodotti o ordinati è certificato con un marchio di qualità ecologica (ecolabel). (I)</t>
        </is>
      </c>
      <c r="D98" s="6" t="inlineStr">
        <is>
          <t>Imperativo</t>
        </is>
      </c>
      <c r="E98" s="6" t="inlineStr">
        <is>
          <t>Riorganizzazione:
- Spostato al punto 6. Approvvigionamento
Modalità moderata:
- Eliminata l'opzione che gli acquisti potessero essere "prodotti da un'azienda con un sistema di gestione ambientale"
- ⓘ Adeguamento nazionale: in Danimarca e Paesi Bassi, almeno il 90% della carta da stampa, delle buste e dei materiali cartacei stampati di nuova produzione o ordinati dall'azienda sono dotati di etichetta ecologica.
Modalità minore:
- Miglioramento della formulazione
Modifiche all'audit:
- Chiarimento e aggiornamento del processo di audit per includere il contenuto del nuovo criterio, con istruzioni più dettagliate su cosa deve essere incluso nell'audit e rafforzamento del processo di audit: i richiedenti che rinnovano la certificazione devono presentare la documentazione richiesta per gli ultimi 24 mesi, i richiedenti che la presentano per la prima volta per gli ultimi 12 mesi, e sono obbligatori 3 campioni casuali (metodologia C)</t>
        </is>
      </c>
      <c r="F98" s="6" t="inlineStr">
        <is>
          <t>medio</t>
        </is>
      </c>
      <c r="G98" s="6" t="inlineStr">
        <is>
          <t>Vito Quarto – Executive Chef</t>
        </is>
      </c>
      <c r="H98" s="6" t="inlineStr"/>
      <c r="I98" s="6" t="inlineStr">
        <is>
          <t>Formalizzare procurement sostenibile e verificare certificazioni/fornitori.</t>
        </is>
      </c>
      <c r="J98" s="6" t="inlineStr">
        <is>
          <t>NO</t>
        </is>
      </c>
      <c r="K98" s="6" t="inlineStr">
        <is>
          <t>DA VERIFICARE</t>
        </is>
      </c>
      <c r="L98" s="6" t="inlineStr"/>
      <c r="M98" s="6" t="inlineStr">
        <is>
          <t>Da definire in gap audit</t>
        </is>
      </c>
      <c r="N98" s="6" t="inlineStr"/>
    </row>
    <row r="99">
      <c r="A99" s="6" t="inlineStr">
        <is>
          <t>6.4</t>
        </is>
      </c>
      <c r="B99" s="6" t="inlineStr">
        <is>
          <t>Acquisti / F&amp;B</t>
        </is>
      </c>
      <c r="C99" s="6" t="inlineStr">
        <is>
          <t>La struttura implementa almeno 2 iniziative per ridurre l'uso della carta alla reception, negli uffici e/o nelle camere/sale riunioni. (I)</t>
        </is>
      </c>
      <c r="D99" s="6" t="inlineStr">
        <is>
          <t>Imperativo</t>
        </is>
      </c>
      <c r="E99" s="6" t="inlineStr">
        <is>
          <t>Riorganizzazione:
Spostato al punto 6. Approvvigionamento
Moderato:
- Adeguamento nazionale: nei Paesi Bassi, la struttura adotta almeno 6 iniziative per ridurre l'uso della carta alla reception, negli uffici e/o nelle camere/sale riunioni.
Minore:
- Chiarimento nel titolo: la struttura deve adottare almeno 2 iniziative.
- Miglioramento della formulazione
Modifiche all'audit:
- Aggiornata la formulazione dell'audit, ma non sono state apportate modifiche sostanziali al processo di audit.</t>
        </is>
      </c>
      <c r="F99" s="6" t="inlineStr">
        <is>
          <t>medio</t>
        </is>
      </c>
      <c r="G99" s="6" t="inlineStr">
        <is>
          <t>Alessandra Ferrara – Operations / Purchasing</t>
        </is>
      </c>
      <c r="H99" s="6" t="inlineStr"/>
      <c r="I99" s="6" t="inlineStr">
        <is>
          <t>Formalizzare procurement sostenibile e verificare certificazioni/fornitori.</t>
        </is>
      </c>
      <c r="J99" s="6" t="inlineStr">
        <is>
          <t>NO</t>
        </is>
      </c>
      <c r="K99" s="6" t="inlineStr">
        <is>
          <t>DA VERIFICARE</t>
        </is>
      </c>
      <c r="L99" s="6" t="inlineStr"/>
      <c r="M99" s="6" t="inlineStr">
        <is>
          <t>Da definire in gap audit</t>
        </is>
      </c>
      <c r="N99" s="6" t="inlineStr"/>
    </row>
    <row r="100">
      <c r="A100" s="6" t="inlineStr">
        <is>
          <t>6.5</t>
        </is>
      </c>
      <c r="B100" s="6" t="inlineStr">
        <is>
          <t>Acquisti / F&amp;B</t>
        </is>
      </c>
      <c r="C100" s="6" t="inlineStr">
        <is>
          <t>Almeno una categoria merceologica di prodotti tessili acquistati o noleggiati è certificata a livello sociale o ambientale (I/G)</t>
        </is>
      </c>
      <c r="D100" s="6" t="inlineStr">
        <is>
          <t>Da verificare</t>
        </is>
      </c>
      <c r="E100" s="6" t="inlineStr">
        <is>
          <t>Riorganizzazione:
- Spostato al punto 6. Approvvigionamento
Molto importante:
- Rafforzato da G a I per HH
Moderato:
- Ammorbidito da tre categorie a una sola.
Modificato in modo che i tessuti debbano essere "certificati a livello sociale o ambientale"
Minore:
- Miglioramento della formulazione
Modifiche all'audit:
- Chiarito e aggiornato il processo di audit in modo che copra il contenuto del nuovo criterio, sono state fornite istruzioni più dettagliate su cosa deve essere incluso nell'audit e il processo di audit è stato rafforzato: i richiedenti che rinnovano l'iscrizione devono presentare la documentazione relativa agli acquisti e ai noleggi degli ultimi 24 mesi, i richiedenti che presentano l'iscrizione per la prima volta quella degli ultimi 12 mesi, e sono ora obbligatori 3 campioni casuali (metodologia C)</t>
        </is>
      </c>
      <c r="F100" s="6" t="inlineStr">
        <is>
          <t>medio</t>
        </is>
      </c>
      <c r="G100" s="6" t="inlineStr">
        <is>
          <t>Alessandra Ferrara – Operations / Maintenance</t>
        </is>
      </c>
      <c r="H100" s="6" t="inlineStr"/>
      <c r="I100" s="6" t="inlineStr">
        <is>
          <t>Formalizzare procurement sostenibile e verificare certificazioni/fornitori.</t>
        </is>
      </c>
      <c r="J100" s="6" t="inlineStr">
        <is>
          <t>NO</t>
        </is>
      </c>
      <c r="K100" s="6" t="inlineStr">
        <is>
          <t>DA VERIFICARE</t>
        </is>
      </c>
      <c r="L100" s="6" t="inlineStr"/>
      <c r="M100" s="6" t="inlineStr">
        <is>
          <t>Da definire in gap audit</t>
        </is>
      </c>
      <c r="N100" s="6" t="inlineStr"/>
    </row>
    <row r="101">
      <c r="A101" s="6" t="inlineStr">
        <is>
          <t>6.6</t>
        </is>
      </c>
      <c r="B101" s="6" t="inlineStr">
        <is>
          <t>Acquisti / F&amp;B</t>
        </is>
      </c>
      <c r="C101" s="6" t="inlineStr">
        <is>
          <t>Almeno il 50% dei fornitori della struttura è certificato eco-label. (G)</t>
        </is>
      </c>
      <c r="D101" s="6" t="inlineStr">
        <is>
          <t>Guida</t>
        </is>
      </c>
      <c r="E101" s="6" t="inlineStr">
        <is>
          <t>Riorganizzazione:
- Spostato al punto 6. Approvvigionamento
Moderato:
- Ammorbidito dal 75% al ​​50%.
- Adeguamento nazionale: In Norvegia, almeno il 75% dei fornitori dello stabilimento è in possesso di certificazione ecologica.
Minore:
- Miglioramento della formulazione
Modifiche all'audit:
- Chiarimento e aggiornamento del processo di audit in modo che copra il contenuto del nuovo criterio (50%), sono state fornite istruzioni più dettagliate su cosa deve essere incluso nell'audit e il processo di audit è stato rafforzato: ora sono obbligatori 3 campioni casuali (metodologia C)</t>
        </is>
      </c>
      <c r="F101" s="6" t="inlineStr">
        <is>
          <t>medio</t>
        </is>
      </c>
      <c r="G101" s="6" t="inlineStr">
        <is>
          <t>Alessandra Ferrara – Operations / Purchasing</t>
        </is>
      </c>
      <c r="H101" s="6" t="inlineStr"/>
      <c r="I101" s="6" t="inlineStr">
        <is>
          <t>Formalizzare procurement sostenibile e verificare certificazioni/fornitori.</t>
        </is>
      </c>
      <c r="J101" s="6" t="inlineStr">
        <is>
          <t>NO</t>
        </is>
      </c>
      <c r="K101" s="6" t="inlineStr">
        <is>
          <t>DA VERIFICARE</t>
        </is>
      </c>
      <c r="L101" s="6" t="inlineStr"/>
      <c r="M101" s="6" t="inlineStr">
        <is>
          <t>Da definire in gap audit</t>
        </is>
      </c>
      <c r="N101" s="6" t="inlineStr"/>
    </row>
    <row r="102">
      <c r="A102" s="6" t="inlineStr">
        <is>
          <t>6.7</t>
        </is>
      </c>
      <c r="B102" s="6" t="inlineStr">
        <is>
          <t>Acquisti / F&amp;B</t>
        </is>
      </c>
      <c r="C102" s="6" t="inlineStr">
        <is>
          <t>Se il servizio di lavanderia è esternalizzato, il fornitore si trova entro un raggio di 100 km oppure è certificato ecolabel. (G)</t>
        </is>
      </c>
      <c r="D102" s="6" t="inlineStr">
        <is>
          <t>Guida</t>
        </is>
      </c>
      <c r="E102" s="6" t="inlineStr">
        <is>
          <t>Riorganizzazione:
- Spostato al punto 6. Approvvigionamento
Modalità moderata:
- Aggiunta l'opzione che l'azienda esterna possa essere "ecocertificata"
- ⓘ Adeguamento nazionale: In Belgio e Portogallo, se il servizio di lavanderia è esternalizzato, deve essere situato entro 50 km dallo stabilimento.
Modalità minore:
- Miglioramento della formulazione
Modifiche all'audit:
- Chiarimento e aggiornamento del processo di audit in modo che copra il contenuto del nuovo criterio, e sono state fornite istruzioni più dettagliate su cosa deve essere incluso nell'audit (in base all'opzione scelta dallo stabilimento)</t>
        </is>
      </c>
      <c r="F102" s="6" t="inlineStr">
        <is>
          <t>Basso</t>
        </is>
      </c>
      <c r="G102" s="6" t="inlineStr">
        <is>
          <t>Alessandra Ferrara – Operations / Maintenance</t>
        </is>
      </c>
      <c r="H102" s="6" t="inlineStr"/>
      <c r="I102" s="6" t="inlineStr">
        <is>
          <t>Formalizzare procurement sostenibile e verificare certificazioni/fornitori.</t>
        </is>
      </c>
      <c r="J102" s="6" t="inlineStr">
        <is>
          <t>NO</t>
        </is>
      </c>
      <c r="K102" s="6" t="inlineStr">
        <is>
          <t>DA VERIFICARE</t>
        </is>
      </c>
      <c r="L102" s="6" t="inlineStr"/>
      <c r="M102" s="6" t="inlineStr">
        <is>
          <t>Da definire in gap audit</t>
        </is>
      </c>
      <c r="N102" s="6" t="inlineStr"/>
    </row>
    <row r="103">
      <c r="A103" s="6" t="inlineStr">
        <is>
          <t>6.8</t>
        </is>
      </c>
      <c r="B103" s="6" t="inlineStr">
        <is>
          <t>Acquisti / F&amp;B</t>
        </is>
      </c>
      <c r="C103" s="6" t="inlineStr">
        <is>
          <t>Almeno il 75% dei veicoli e dei mezzi di trasporto di proprietà o a noleggio della struttura è elettrico o costituito da cargo-bike. (G)</t>
        </is>
      </c>
      <c r="D103" s="6" t="inlineStr">
        <is>
          <t>Guida</t>
        </is>
      </c>
      <c r="E103" s="6" t="inlineStr">
        <is>
          <t>Riorganizzazione:
- Spostato al punto 6. Approvvigionamento
Moderato:
- Modificato da "veicoli a motore ecocompatibili" a "biciclette elettriche o cargo-bikes"
Minore:
- Miglioramento della formulazione.
- Chiarito nel titolo del criterio che la percentuale è del 75% (precedentemente menzionata solo nella spiegazione del criterio)
Modifiche all'audit:
- Chiarito e aggiornato il processo di audit in modo che copra il contenuto del nuovo criterio, sono state fornite istruzioni più dettagliate su cosa deve essere incluso nell'audit e il processo di audit è stato rafforzato (ora sono richiesti 3 campioni (metodologia C)).</t>
        </is>
      </c>
      <c r="F103" s="6" t="inlineStr">
        <is>
          <t>Medio/Basso</t>
        </is>
      </c>
      <c r="G103" s="6" t="inlineStr">
        <is>
          <t>Alessandra Ferrara – Operations / Purchasing</t>
        </is>
      </c>
      <c r="H103" s="6" t="inlineStr"/>
      <c r="I103" s="6" t="inlineStr">
        <is>
          <t>Formalizzare procurement sostenibile e verificare certificazioni/fornitori.</t>
        </is>
      </c>
      <c r="J103" s="6" t="inlineStr">
        <is>
          <t>NO</t>
        </is>
      </c>
      <c r="K103" s="6" t="inlineStr">
        <is>
          <t>DA VERIFICARE</t>
        </is>
      </c>
      <c r="L103" s="6" t="inlineStr"/>
      <c r="M103" s="6" t="inlineStr">
        <is>
          <t>Da definire in gap audit</t>
        </is>
      </c>
      <c r="N103" s="6" t="inlineStr"/>
    </row>
    <row r="104">
      <c r="A104" s="6" t="inlineStr">
        <is>
          <t>6.9</t>
        </is>
      </c>
      <c r="B104" s="6" t="inlineStr">
        <is>
          <t>Acquisti / F&amp;B</t>
        </is>
      </c>
      <c r="C104" s="6" t="inlineStr">
        <is>
          <t>La struttura promuove e sostiene attivamente opzioni di pendolarismo sostenibili e attente alla salute per il personale. (G)</t>
        </is>
      </c>
      <c r="D104" s="6" t="inlineStr">
        <is>
          <t>Guida</t>
        </is>
      </c>
      <c r="E104" s="6" t="inlineStr">
        <is>
          <t>Riorganizzazione:
- Spostato al punto 6. Approvvigionamento
Modalità moderata:
- Adeguamento nazionale: in Belgio, questo criterio è obbligatorio.
Modalità minore:
- Modificato da "ecocompatibile" a "sostenibile e attento alla salute"
- Miglioramento della formulazione
Modifiche all'audit:
- Chiarimento e aggiornamento del processo di audit in modo che copra il contenuto del nuovo criterio, sono state fornite istruzioni più dettagliate su cosa deve essere incluso nell'audit e il processo di audit è stato rafforzato (con prova della diffusione delle comunicazioni interne almeno una volta ogni 6 mesi).</t>
        </is>
      </c>
      <c r="F104" s="6" t="inlineStr">
        <is>
          <t>Basso</t>
        </is>
      </c>
      <c r="G104" s="6" t="inlineStr">
        <is>
          <t>Alessandra Ferrara – Operations / Purchasing</t>
        </is>
      </c>
      <c r="H104" s="6" t="inlineStr"/>
      <c r="I104" s="6" t="inlineStr">
        <is>
          <t>Formalizzare procurement sostenibile e verificare certificazioni/fornitori.</t>
        </is>
      </c>
      <c r="J104" s="6" t="inlineStr">
        <is>
          <t>NO</t>
        </is>
      </c>
      <c r="K104" s="6" t="inlineStr">
        <is>
          <t>DA VERIFICARE</t>
        </is>
      </c>
      <c r="L104" s="6" t="inlineStr"/>
      <c r="M104" s="6" t="inlineStr">
        <is>
          <t>Da definire in gap audit</t>
        </is>
      </c>
      <c r="N104" s="6" t="inlineStr"/>
    </row>
    <row r="105">
      <c r="A105" s="6" t="inlineStr">
        <is>
          <t>6.10</t>
        </is>
      </c>
      <c r="B105" s="6" t="inlineStr">
        <is>
          <t>Acquisti / F&amp;B</t>
        </is>
      </c>
      <c r="C105" s="6" t="inlineStr">
        <is>
          <t>La struttura adotta iniziative per ridurre l'impatto ambientale dei sistemi informatici (IT). (G)</t>
        </is>
      </c>
      <c r="D105" s="6" t="inlineStr">
        <is>
          <t>Guida</t>
        </is>
      </c>
      <c r="E105" s="6" t="inlineStr">
        <is>
          <t>Importante:
- Nuovo requisito (linea guida)</t>
        </is>
      </c>
      <c r="F105" s="6" t="inlineStr">
        <is>
          <t>medio</t>
        </is>
      </c>
      <c r="G105" s="6" t="inlineStr">
        <is>
          <t>Alessandra Ferrara – Operations / Maintenance</t>
        </is>
      </c>
      <c r="H105" s="6" t="inlineStr"/>
      <c r="I105" s="6" t="inlineStr">
        <is>
          <t>Formalizzare procurement sostenibile e verificare certificazioni/fornitori.</t>
        </is>
      </c>
      <c r="J105" s="6" t="inlineStr">
        <is>
          <t>NO</t>
        </is>
      </c>
      <c r="K105" s="6" t="inlineStr">
        <is>
          <t>DA VERIFICARE</t>
        </is>
      </c>
      <c r="L105" s="6" t="inlineStr"/>
      <c r="M105" s="6" t="inlineStr">
        <is>
          <t>Da definire in gap audit</t>
        </is>
      </c>
      <c r="N105" s="6" t="inlineStr"/>
    </row>
    <row r="106">
      <c r="A106" s="6" t="inlineStr">
        <is>
          <t>6.11</t>
        </is>
      </c>
      <c r="B106" s="6" t="inlineStr">
        <is>
          <t>Acquisti / F&amp;B</t>
        </is>
      </c>
      <c r="C106" s="6" t="inlineStr">
        <is>
          <t>Mobili, arredi e forniture sono ricondizionati, recuperati o donati per estenderne il ciclo di vita. (G)</t>
        </is>
      </c>
      <c r="D106" s="6" t="inlineStr">
        <is>
          <t>Guida</t>
        </is>
      </c>
      <c r="E106" s="6" t="inlineStr">
        <is>
          <t>Riorganizzazione:
- Spostato al punto 6. Approvvigionamento
- Fusione dei vecchi punti 11.11 e 13.9
Modalità moderata:
- A causa della fusione, non include "ricondizionato, riciclato o donato"
Modalità minore:
- Miglioramento della formulazione
Modifiche all'audit:
- Aggiornato il processo di audit in modo che copra il contenuto del nuovo criterio, sono state fornite istruzioni più dettagliate su cosa deve essere incluso nell'audit e il processo di audit è stato rafforzato: i richiedenti che rinnovano l'iscrizione devono fornire le informazioni richieste per gli ultimi 24 mesi, i richiedenti che presentano la prima iscrizione per gli ultimi 12 mesi</t>
        </is>
      </c>
      <c r="F106" s="6" t="inlineStr">
        <is>
          <t>Medio/Basso</t>
        </is>
      </c>
      <c r="G106" s="6" t="inlineStr">
        <is>
          <t>Vito Quarto – Executive Chef</t>
        </is>
      </c>
      <c r="H106" s="6" t="inlineStr"/>
      <c r="I106" s="6" t="inlineStr">
        <is>
          <t>Formalizzare procurement sostenibile e verificare certificazioni/fornitori.</t>
        </is>
      </c>
      <c r="J106" s="6" t="inlineStr">
        <is>
          <t>NO</t>
        </is>
      </c>
      <c r="K106" s="6" t="inlineStr">
        <is>
          <t>DA VERIFICARE</t>
        </is>
      </c>
      <c r="L106" s="6" t="inlineStr"/>
      <c r="M106" s="6" t="inlineStr">
        <is>
          <t>Da definire in gap audit</t>
        </is>
      </c>
      <c r="N106" s="6" t="inlineStr"/>
    </row>
    <row r="107">
      <c r="A107" s="6" t="inlineStr">
        <is>
          <t>6.12</t>
        </is>
      </c>
      <c r="B107" s="6" t="inlineStr">
        <is>
          <t>Acquisti / F&amp;B</t>
        </is>
      </c>
      <c r="C107" s="6" t="inlineStr">
        <is>
          <t>La struttura acquista e promuove diverse categorie di prodotti food &amp; beverage(F&amp;B) che siano biologici e/o certificati con eco-label e/o certificati fair trade e/o di produzione locale. (I)</t>
        </is>
      </c>
      <c r="D107" s="6" t="inlineStr">
        <is>
          <t>Imperativo</t>
        </is>
      </c>
      <c r="E107" s="6" t="inlineStr">
        <is>
          <t>Riorganizzazione:
- Spostato al punto 6. Approvvigionamento
- Fusione dei vecchi punti 8.1 e 8.7, pertanto ora il requisito include anche: "Si raccomanda vivamente di indicare chiaramente quali prodotti siano biologici e/o certificati con eco-label e/o del commercio equo e solidale e/o di produzione locale (salvo divieti di legge), ad esempio nel menu o tramite segnaletica sul buffet."
Principale:
- Criteri rafforzati, passati da un minimo di 5 tipologie di prodotti per tutti a un minimo di 5 prodotti per HH, CHP, SA, CC, A e un minimo di 10 prodotti per R. Inoltre, è stato aggiunto che "Questi prodotti sono utilizzati in quantità significative e/o quotidianamente e coprono almeno 5 o 10 diverse categorie di prodotti (a seconda della categoria della struttura)".
Moderato:
ⓘ Adattamento nazionale: In Francia, Svezia e Norvegia, il criterio di acquisto e promozione di diverse categorie di prodotti alimentari e bevande biologici, con etichetta ecologica, del commercio equo e solidale e/o di produzione locale si applica a ciascuna offerta di ristorazione all'interno della struttura, ovvero a ogni buffet o menù per la colazione, a ogni buffet o menù per il pranzo e la cena e al menù del servizio in camera (tranne nei casi in cui il servizio in camera sia esterno o pre-confezionato). Sono escluse le postazioni caffè nelle camere e le offerte di snack.
Minore:
Miglioramento della formulazione
Modifiche all'audit:
- Il processo di audit è stato chiarito e aggiornato in modo da includere il contenuto del nuovo criterio, e sono state fornite istruzioni più dettagliate su cosa deve essere incluso nell'audit. È stato inoltre aggiunto che l'ispezione visiva deve seguire la metodologia A.</t>
        </is>
      </c>
      <c r="F107" s="6" t="inlineStr">
        <is>
          <t>medio</t>
        </is>
      </c>
      <c r="G107" s="6" t="inlineStr">
        <is>
          <t>Vito Quarto – Executive Chef</t>
        </is>
      </c>
      <c r="H107" s="6" t="inlineStr"/>
      <c r="I107" s="6" t="inlineStr">
        <is>
          <t>F&amp;B: aggiornare menu/matrice acquisti e documentare prodotti/opzioni/iniziativa sostenibile.</t>
        </is>
      </c>
      <c r="J107" s="6" t="inlineStr">
        <is>
          <t>NO</t>
        </is>
      </c>
      <c r="K107" s="6" t="inlineStr">
        <is>
          <t>DA VERIFICARE</t>
        </is>
      </c>
      <c r="L107" s="6" t="inlineStr"/>
      <c r="M107" s="6" t="inlineStr">
        <is>
          <t>Da definire in gap audit</t>
        </is>
      </c>
      <c r="N107" s="6" t="inlineStr"/>
    </row>
    <row r="108">
      <c r="A108" s="6" t="inlineStr">
        <is>
          <t>6.13</t>
        </is>
      </c>
      <c r="B108" s="6" t="inlineStr">
        <is>
          <t>Acquisti / F&amp;B</t>
        </is>
      </c>
      <c r="C108" s="6" t="inlineStr">
        <is>
          <t>La struttura non acquista pesce, frutti di mare e carne di specie minacciate o protette. (I)</t>
        </is>
      </c>
      <c r="D108" s="6" t="inlineStr">
        <is>
          <t>Imperativo</t>
        </is>
      </c>
      <c r="E108" s="6" t="inlineStr">
        <is>
          <t>Riorganizzazione:
- Spostato al punto 6. Approvvigionamento
Modifiche minori:
- Chiarito nel titolo del criterio che il criterio si riferisce a "pesce, frutti di mare e carne"
- Miglioramento della formulazione
Modifiche all'audit:
- Chiarito e aggiornato il processo di audit in modo che copra il contenuto del nuovo criterio e rafforzato il processo di audit: ora è richiesto un elenco correlato che identifichi le specie di pesce, frutti di mare e carne utilizzate per le voci del menu, corredato, ove disponibili, dalle fatture/registri d'acquisto dei fornitori degli ultimi 24 mesi (per i richiedenti che rinnovano la certificazione) o 12 mesi (per i nuovi richiedenti), ed è inoltre richiesta un'ispezione visiva dei frigoriferi, dei congelatori e delle aree di stoccaggio.</t>
        </is>
      </c>
      <c r="F108" s="6" t="inlineStr">
        <is>
          <t>medio</t>
        </is>
      </c>
      <c r="G108" s="6" t="inlineStr">
        <is>
          <t>Vito Quarto – Executive Chef</t>
        </is>
      </c>
      <c r="H108" s="6" t="inlineStr"/>
      <c r="I108" s="6" t="inlineStr">
        <is>
          <t>Formalizzare procurement sostenibile e verificare certificazioni/fornitori.</t>
        </is>
      </c>
      <c r="J108" s="6" t="inlineStr">
        <is>
          <t>NO</t>
        </is>
      </c>
      <c r="K108" s="6" t="inlineStr">
        <is>
          <t>DA VERIFICARE</t>
        </is>
      </c>
      <c r="L108" s="6" t="inlineStr"/>
      <c r="M108" s="6" t="inlineStr">
        <is>
          <t>Da definire in gap audit</t>
        </is>
      </c>
      <c r="N108" s="6" t="inlineStr"/>
    </row>
    <row r="109">
      <c r="A109" s="6" t="inlineStr">
        <is>
          <t>6.14</t>
        </is>
      </c>
      <c r="B109" s="6" t="inlineStr">
        <is>
          <t>Acquisti / F&amp;B</t>
        </is>
      </c>
      <c r="C109" s="6" t="inlineStr">
        <is>
          <t>Sono offertialmeno 1 antipasto vegetariano, 1 piatto principale vegetariano e almeno 1 antipasto o piatto principale vegano, tali opzioni sono chiaramente indicati nel menu/buffet (I)</t>
        </is>
      </c>
      <c r="D109" s="6" t="inlineStr">
        <is>
          <t>Imperativo</t>
        </is>
      </c>
      <c r="E109" s="6" t="inlineStr">
        <is>
          <t>Riorganizzazione:
- Spostato al punto 6. Approvvigionamento
Modifiche principali:
- Criteri rafforzati, da "un'alternativa vegetariana/vegana" a "Almeno un (1) antipasto vegetariano; un (1) piatto principale vegetariano e un (1) antipasto o piatto principale vegano"
Modifiche minori:
- Formulazione migliorata
Modifiche all'audit:
- Processo di audit chiarito e aggiornato in modo da includere il contenuto del nuovo criterio, istruzioni più dettagliate su cosa deve essere incluso nell'audit e processo di audit rafforzato: l'esercizio deve dimostrare che i menu prevedono una rotazione delle offerte vegetariane/vegane per evitare ripetizioni.</t>
        </is>
      </c>
      <c r="F109" s="6" t="inlineStr">
        <is>
          <t>Alto</t>
        </is>
      </c>
      <c r="G109" s="6" t="inlineStr">
        <is>
          <t>Vito Quarto – Executive Chef</t>
        </is>
      </c>
      <c r="H109" s="6" t="inlineStr"/>
      <c r="I109" s="6" t="inlineStr">
        <is>
          <t>F&amp;B: aggiornare menu/matrice acquisti e documentare prodotti/opzioni/iniziativa sostenibile.</t>
        </is>
      </c>
      <c r="J109" s="6" t="inlineStr">
        <is>
          <t>NO</t>
        </is>
      </c>
      <c r="K109" s="6" t="inlineStr">
        <is>
          <t>DA VERIFICARE</t>
        </is>
      </c>
      <c r="L109" s="6" t="inlineStr"/>
      <c r="M109" s="6" t="inlineStr">
        <is>
          <t>Da definire in gap audit</t>
        </is>
      </c>
      <c r="N109" s="6" t="inlineStr"/>
    </row>
    <row r="110">
      <c r="A110" s="6" t="inlineStr">
        <is>
          <t>6.15</t>
        </is>
      </c>
      <c r="B110" s="6" t="inlineStr">
        <is>
          <t>Acquisti / F&amp;B</t>
        </is>
      </c>
      <c r="C110" s="6" t="inlineStr">
        <is>
          <t>La struttura adotta iniziative per ridurre il livello di spreco alimentare. (I)</t>
        </is>
      </c>
      <c r="D110" s="6" t="inlineStr">
        <is>
          <t>Imperativo</t>
        </is>
      </c>
      <c r="E110" s="6" t="inlineStr">
        <is>
          <t>Riorganizzazione:
Spostato al punto 6. Approvvigionamento
Moderato:
- Il criterio è stato rafforzato aggiungendo che "La struttura implementa almeno 2 azioni focalizzate sulla riduzione dello spreco alimentare. Le categorie Hotel  &amp; Ostelli (HH), i Campeggi e parchi vacanze (CHP), i Centri Congressi (CC), i Ristoranti/café (R) e le Attrazioni (A) elaborano e attuano inoltre un piano di riduzione dello spreco alimentare."
- ⓘ Adattamento nazionale: in SE, FI e NL, la struttura attua un minimo di 5 azioni incentrate sulla riduzione degli sprechi alimentari.
Minore:
- Miglioramento della formulazione
Modifiche all'audit:
- Il processo di audit è stato chiarito e aggiornato in modo da coprire il contenuto del nuovo criterio, sono state fornite istruzioni più dettagliate su cosa deve essere incluso nell'audit e il processo di audit è stato rafforzato: la struttura deve presentare prove delle azioni attuate per ridurre gli sprechi alimentari,</t>
        </is>
      </c>
      <c r="F110" s="6" t="inlineStr">
        <is>
          <t>medio</t>
        </is>
      </c>
      <c r="G110" s="6" t="inlineStr">
        <is>
          <t>Vito Quarto – Executive Chef</t>
        </is>
      </c>
      <c r="H110" s="6" t="inlineStr"/>
      <c r="I110" s="6" t="inlineStr">
        <is>
          <t>Formalizzare procurement sostenibile e verificare certificazioni/fornitori.</t>
        </is>
      </c>
      <c r="J110" s="6" t="inlineStr">
        <is>
          <t>NO</t>
        </is>
      </c>
      <c r="K110" s="6" t="inlineStr">
        <is>
          <t>DA VERIFICARE</t>
        </is>
      </c>
      <c r="L110" s="6" t="inlineStr"/>
      <c r="M110" s="6" t="inlineStr">
        <is>
          <t>Da definire in gap audit</t>
        </is>
      </c>
      <c r="N110" s="6" t="inlineStr"/>
    </row>
    <row r="111">
      <c r="A111" s="6" t="inlineStr">
        <is>
          <t>6.16</t>
        </is>
      </c>
      <c r="B111" s="6" t="inlineStr">
        <is>
          <t>Acquisti / F&amp;B</t>
        </is>
      </c>
      <c r="C111" s="6" t="inlineStr">
        <is>
          <t>Laddove la qualità dell'acqua sia di standard adeguato, l'acqua del rubinetto viene offerta agli ospiti. (I)</t>
        </is>
      </c>
      <c r="D111" s="6" t="inlineStr">
        <is>
          <t>Imperativo</t>
        </is>
      </c>
      <c r="E111" s="6" t="inlineStr">
        <is>
          <t>Riorganizzazione:
- Spostato al punto 6. Approvvigionamento
Modifiche minori:
- Miglioramento della formulazione
Modifiche all'audit:
- Sono state fornite istruzioni più dettagliate su cosa deve essere incluso nell'audit (in base alla possibilità o meno per l'esercizio di fornire acqua potabile)</t>
        </is>
      </c>
      <c r="F111" s="6" t="inlineStr">
        <is>
          <t>Basso</t>
        </is>
      </c>
      <c r="G111" s="6" t="inlineStr">
        <is>
          <t>Vito Quarto – Executive Chef</t>
        </is>
      </c>
      <c r="H111" s="6" t="inlineStr"/>
      <c r="I111" s="6" t="inlineStr">
        <is>
          <t>Formalizzare procurement sostenibile e verificare certificazioni/fornitori.</t>
        </is>
      </c>
      <c r="J111" s="6" t="inlineStr">
        <is>
          <t>NO</t>
        </is>
      </c>
      <c r="K111" s="6" t="inlineStr">
        <is>
          <t>DA VERIFICARE</t>
        </is>
      </c>
      <c r="L111" s="6" t="inlineStr"/>
      <c r="M111" s="6" t="inlineStr">
        <is>
          <t>Da definire in gap audit</t>
        </is>
      </c>
      <c r="N111" s="6" t="inlineStr"/>
    </row>
    <row r="112">
      <c r="A112" s="6" t="inlineStr">
        <is>
          <t>6.17</t>
        </is>
      </c>
      <c r="B112" s="6" t="inlineStr">
        <is>
          <t>Acquisti / F&amp;B</t>
        </is>
      </c>
      <c r="C112" s="6" t="inlineStr">
        <is>
          <t>Almeno il 10% di tutti i prodotti F&amp;B utilizzati nella struttura sono biologici e/o certificati con eco-label e/o del commercio equo e solidale e/o di produzione locale. (G)</t>
        </is>
      </c>
      <c r="D112" s="6" t="inlineStr">
        <is>
          <t>Guida</t>
        </is>
      </c>
      <c r="E112" s="6" t="inlineStr">
        <is>
          <t>Riorganizzazione:
- Spostato al punto 6. Approvvigionamento
Modalità moderata:
- Aggiunto questo criterio come opzione al nuovo punto 6.18
- Ridotto dal 50% al 10%
- ⓘ Adattamento nazionale: In Svezia, questo criterio è obbligatorio. In Danimarca, almeno il 15% di tutti i prodotti alimentari e delle bevande utilizzati nell'esercizio commerciale sono biologici, il che significa che i prodotti con etichetta ecologica, commercio equo e solidale o di produzione locale non sono accettati per soddisfare questo criterio.
Modifiche minori:
- Miglioramento della formulazione
Modifiche all'audit:
- Chiarimento e aggiornamento del processo di audit in modo che copra il contenuto del nuovo criterio, sono state fornite istruzioni più dettagliate su cosa deve essere incluso nell'audit e il processo di audit è stato rafforzato: i campionamenti sono ora obbligatori (metodologia A) e i richiedenti che rinnovano la certificazione devono fornire un elenco di tutti i prodotti alimentari e delle bevande acquistati nei 24 mesi precedenti l'audit, mentre i richiedenti che presentano la certificazione per la prima volta devono fornire un elenco dei 12 mesi precedenti.</t>
        </is>
      </c>
      <c r="F112" s="6" t="inlineStr">
        <is>
          <t>Medio/basso</t>
        </is>
      </c>
      <c r="G112" s="6" t="inlineStr">
        <is>
          <t>Vito Quarto – Executive Chef</t>
        </is>
      </c>
      <c r="H112" s="6" t="inlineStr"/>
      <c r="I112" s="6" t="inlineStr">
        <is>
          <t>F&amp;B: aggiornare menu/matrice acquisti e documentare prodotti/opzioni/iniziativa sostenibile.</t>
        </is>
      </c>
      <c r="J112" s="6" t="inlineStr">
        <is>
          <t>NO</t>
        </is>
      </c>
      <c r="K112" s="6" t="inlineStr">
        <is>
          <t>DA VERIFICARE</t>
        </is>
      </c>
      <c r="L112" s="6" t="inlineStr"/>
      <c r="M112" s="6" t="inlineStr">
        <is>
          <t>Da definire in gap audit</t>
        </is>
      </c>
      <c r="N112" s="6" t="inlineStr"/>
    </row>
    <row r="113">
      <c r="A113" s="6" t="inlineStr">
        <is>
          <t>6.18</t>
        </is>
      </c>
      <c r="B113" s="6" t="inlineStr">
        <is>
          <t>Acquisti / F&amp;B</t>
        </is>
      </c>
      <c r="C113" s="6" t="inlineStr">
        <is>
          <t>Almeno il 25% di tutti i prodotti F&amp;B utilizzati nella struttura è biologico, ecolabel, o del commercio equo e solidale o prodotti localmente. (G)</t>
        </is>
      </c>
      <c r="D113" s="6" t="inlineStr">
        <is>
          <t>Guida</t>
        </is>
      </c>
      <c r="E113" s="6" t="inlineStr">
        <is>
          <t>Riorganizzazione:
- Spostato al punto 6. Approvvigionamento
Moderato:
- Indebolito dal 50% al 25%
- ⓘ Adeguamento nazionale: in Danimarca, almeno il 25% di tutti i prodotti alimentari e delle bevande utilizzati nell'esercizio commerciale sono biologici, il che significa che i prodotti con etichetta ecologica, commercio equo e solidale o di produzione locale non sono accettati per soddisfare questo criterio.
Minore:
- Miglioramento della formulazione
Modifiche all'audit:
- Chiarimento e aggiornamento del processo di audit in modo che copra il contenuto del nuovo criterio, sono state fornite istruzioni più dettagliate su cosa deve essere incluso nell'audit e il processo di audit è stato rafforzato: i campioni sono ora obbligatori (metodologia A) e i richiedenti che rinnovano la certificazione devono presentare un elenco di tutti i prodotti alimentari e delle bevande acquistati nei 24 mesi precedenti l'audit, mentre i richiedenti che presentano la certificazione per la prima volta devono presentare un elenco dei 12 mesi precedenti.</t>
        </is>
      </c>
      <c r="F113" s="6" t="inlineStr">
        <is>
          <t>Medio/basso</t>
        </is>
      </c>
      <c r="G113" s="6" t="inlineStr">
        <is>
          <t>Vito Quarto – Executive Chef</t>
        </is>
      </c>
      <c r="H113" s="6" t="inlineStr"/>
      <c r="I113" s="6" t="inlineStr">
        <is>
          <t>Formalizzare procurement sostenibile e verificare certificazioni/fornitori.</t>
        </is>
      </c>
      <c r="J113" s="6" t="inlineStr">
        <is>
          <t>NO</t>
        </is>
      </c>
      <c r="K113" s="6" t="inlineStr">
        <is>
          <t>DA VERIFICARE</t>
        </is>
      </c>
      <c r="L113" s="6" t="inlineStr"/>
      <c r="M113" s="6" t="inlineStr">
        <is>
          <t>Da definire in gap audit</t>
        </is>
      </c>
      <c r="N113" s="6" t="inlineStr"/>
    </row>
    <row r="114">
      <c r="A114" s="6" t="inlineStr">
        <is>
          <t>6.19</t>
        </is>
      </c>
      <c r="B114" s="6" t="inlineStr">
        <is>
          <t>Acquisti / F&amp;B</t>
        </is>
      </c>
      <c r="C114" s="6" t="inlineStr">
        <is>
          <t>Almeno il 30% di tutti gli antipasti e delle portate principali offerti nella struttura sono vegetariani o, in alternativa, almeno un giorno a settimana vengono offerti solo pasti vegetariani/vegani agli ospiti e al personale. (G)</t>
        </is>
      </c>
      <c r="D114" s="6" t="inlineStr">
        <is>
          <t>Guida</t>
        </is>
      </c>
      <c r="E114" s="6" t="inlineStr">
        <is>
          <t>Riorganizzazione:
- Spostato al punto 6. Approvvigionamento
Modifiche principali:
- Rinforzato dal 25% al ​​30% e aggiunta l'alternativa che "almeno un giorno alla settimana vengano offerti pasti esclusivamente vegetariani o vegani sia agli ospiti che al personale".
Modifiche minori:
- Miglioramento della formulazione
Modifiche all'audit:
- Aggiornato il processo di audit in modo che copra il contenuto del nuovo criterio (30%) e sono state fornite istruzioni più dettagliate su cosa deve essere incluso nell'audit. Rinforzato il processo di audit aggiungendo che la struttura deve anche presentare prove che il cibo per il personale sia conforme (ad esempio, piano del menù o dichiarazione della direzione). Aggiunto che l'auditor può inoltre richiedere foto o screenshot di menù cartacei o digitali e materiale di comunicazione o segnaletica che promuova la giornata vegetariana o il 30% di piatti vegetariani.</t>
        </is>
      </c>
      <c r="F114" s="6" t="inlineStr">
        <is>
          <t>medio</t>
        </is>
      </c>
      <c r="G114" s="6" t="inlineStr">
        <is>
          <t>Vito Quarto – Executive Chef</t>
        </is>
      </c>
      <c r="H114" s="6" t="inlineStr"/>
      <c r="I114" s="6" t="inlineStr">
        <is>
          <t>F&amp;B: aggiornare menu/matrice acquisti e documentare prodotti/opzioni/iniziativa sostenibile.</t>
        </is>
      </c>
      <c r="J114" s="6" t="inlineStr">
        <is>
          <t>NO</t>
        </is>
      </c>
      <c r="K114" s="6" t="inlineStr">
        <is>
          <t>DA VERIFICARE</t>
        </is>
      </c>
      <c r="L114" s="6" t="inlineStr"/>
      <c r="M114" s="6" t="inlineStr">
        <is>
          <t>Da definire in gap audit</t>
        </is>
      </c>
      <c r="N114" s="6" t="inlineStr"/>
    </row>
    <row r="115">
      <c r="A115" s="6" t="inlineStr">
        <is>
          <t>6.20</t>
        </is>
      </c>
      <c r="B115" s="6" t="inlineStr">
        <is>
          <t>Acquisti / F&amp;B</t>
        </is>
      </c>
      <c r="C115" s="6" t="inlineStr">
        <is>
          <t>La struttura offre almeno 1 antipasto vegano, 1 portata principale vegana e 1 dessert vegano (G)</t>
        </is>
      </c>
      <c r="D115" s="6" t="inlineStr">
        <is>
          <t>Guida</t>
        </is>
      </c>
      <c r="E115" s="6" t="inlineStr">
        <is>
          <t>Riorganizzazione:
- Spostato al punto 6. Approvvigionamento
Modalità principale:
- Criterio rafforzato, da "un piatto principale vegano" a "almeno un antipasto vegano, un piatto principale vegano e un dessert vegano".
Modalità moderata:
- ⓘ Adattamento nazionale: Nei Paesi Bassi, il locale offre almeno 2 antipasti vegani, 2 piatti principali vegani e 2 dessert vegani.
Modalità minore:
- Miglioramento della formulazione
Modifiche all'audit:
- Processo di audit aggiornato per includere il contenuto del nuovo criterio (1 antipasto vegano, 1 piatto principale vegano e 1 dessert vegano). Aggiunto che l'auditor deve verificare che i piatti vegani siano chiaramente indicati nei menu/buffet di tutti i ristoranti gestiti internamente.</t>
        </is>
      </c>
      <c r="F115" s="6" t="inlineStr">
        <is>
          <t>medio</t>
        </is>
      </c>
      <c r="G115" s="6" t="inlineStr">
        <is>
          <t>Vito Quarto – Executive Chef</t>
        </is>
      </c>
      <c r="H115" s="6" t="inlineStr"/>
      <c r="I115" s="6" t="inlineStr">
        <is>
          <t>F&amp;B: aggiornare menu/matrice acquisti e documentare prodotti/opzioni/iniziativa sostenibile.</t>
        </is>
      </c>
      <c r="J115" s="6" t="inlineStr">
        <is>
          <t>NO</t>
        </is>
      </c>
      <c r="K115" s="6" t="inlineStr">
        <is>
          <t>DA VERIFICARE</t>
        </is>
      </c>
      <c r="L115" s="6" t="inlineStr"/>
      <c r="M115" s="6" t="inlineStr">
        <is>
          <t>Da definire in gap audit</t>
        </is>
      </c>
      <c r="N115" s="6" t="inlineStr"/>
    </row>
    <row r="116">
      <c r="A116" s="6" t="inlineStr">
        <is>
          <t>6.21</t>
        </is>
      </c>
      <c r="B116" s="6" t="inlineStr">
        <is>
          <t>Acquisti / F&amp;B</t>
        </is>
      </c>
      <c r="C116" s="6" t="inlineStr">
        <is>
          <t>La biancheria da letto e gli asciugamani non vengono cambiati quotidianamen te di default e le informazioni sulle procedure di cambio sono chiaramente esposte nelle camere degli ospiti. (I)</t>
        </is>
      </c>
      <c r="D116" s="6" t="inlineStr">
        <is>
          <t>Imperativo</t>
        </is>
      </c>
      <c r="E116" s="6" t="inlineStr">
        <is>
          <t>Riorganizzazione:
- Spostato al punto 6. Approvvigionamento
- Fusione dei vecchi punti 5.1 e 5.2, in modo che il nuovo criterio includa sia la "biancheria da letto" che gli "asciugamani"
Modifiche minori:
- Miglioramento della formulazione
Modifiche all'audit:
- Aggiornato il processo di audit in modo che copra il contenuto del nuovo criterio (sia la biancheria da letto che gli asciugamani). A parte questo, non sono state apportate altre modifiche al processo di audit.</t>
        </is>
      </c>
      <c r="F116" s="6" t="inlineStr">
        <is>
          <t>Medio/Basso</t>
        </is>
      </c>
      <c r="G116" s="6" t="inlineStr">
        <is>
          <t>Alessandra Ferrara – Operations / Maintenance</t>
        </is>
      </c>
      <c r="H116" s="6" t="inlineStr"/>
      <c r="I116" s="6" t="inlineStr">
        <is>
          <t>Formalizzare procurement sostenibile e verificare certificazioni/fornitori.</t>
        </is>
      </c>
      <c r="J116" s="6" t="inlineStr">
        <is>
          <t>NO</t>
        </is>
      </c>
      <c r="K116" s="6" t="inlineStr">
        <is>
          <t>DA VERIFICARE</t>
        </is>
      </c>
      <c r="L116" s="6" t="inlineStr"/>
      <c r="M116" s="6" t="inlineStr">
        <is>
          <t>Da definire in gap audit</t>
        </is>
      </c>
      <c r="N116" s="6" t="inlineStr"/>
    </row>
    <row r="117">
      <c r="A117" s="6" t="inlineStr">
        <is>
          <t>6.22</t>
        </is>
      </c>
      <c r="B117" s="6" t="inlineStr">
        <is>
          <t>Acquisti / F&amp;B</t>
        </is>
      </c>
      <c r="C117" s="6" t="inlineStr">
        <is>
          <t>La struttura offre agli ospiti l'opzione di rinunciare alla pulizia della camera o di selezionare servizi di pulizia parziale. (I)</t>
        </is>
      </c>
      <c r="D117" s="6" t="inlineStr">
        <is>
          <t>Imperativo</t>
        </is>
      </c>
      <c r="E117" s="6" t="inlineStr">
        <is>
          <t>Riorganizzazione:
- Spostato al punto 6. Approvvigionamento
Modifiche importanti:
- Rafforzato da G a I
Modifiche moderate:
- Aggiunta l'opzione che consente all'ospite di "selezionare servizi di pulizia parziali"
Modifiche minori:
- Miglioramento della formulazione
Modifiche all'audit:
- Aggiornata e chiarita la formulazione dell'audit (sono stati forniti più esempi di comunicazione con gli ospiti). Aggiunto che ai richiedenti per la prima volta viene richiesto di presentare la bozza del testo già durante la procedura di candidatura. A parte questo, non sono state apportate modifiche alla procedura di audit.</t>
        </is>
      </c>
      <c r="F117" s="6" t="inlineStr">
        <is>
          <t>Alto</t>
        </is>
      </c>
      <c r="G117" s="6" t="inlineStr">
        <is>
          <t>Georgiana Radescu – Housekeeping</t>
        </is>
      </c>
      <c r="H117" s="6" t="inlineStr"/>
      <c r="I117" s="6" t="inlineStr">
        <is>
          <t>Housekeeping: verificare procedure camere, prodotti cosmetici e certificazioni.</t>
        </is>
      </c>
      <c r="J117" s="6" t="inlineStr">
        <is>
          <t>NO</t>
        </is>
      </c>
      <c r="K117" s="6" t="inlineStr">
        <is>
          <t>DA VERIFICARE</t>
        </is>
      </c>
      <c r="L117" s="6" t="inlineStr"/>
      <c r="M117" s="6" t="inlineStr">
        <is>
          <t>Da definire in gap audit</t>
        </is>
      </c>
      <c r="N117" s="6" t="inlineStr"/>
    </row>
    <row r="118">
      <c r="A118" s="6" t="inlineStr">
        <is>
          <t>6.23</t>
        </is>
      </c>
      <c r="B118" s="6" t="inlineStr">
        <is>
          <t>Acquisti / F&amp;B</t>
        </is>
      </c>
      <c r="C118" s="6" t="inlineStr">
        <is>
          <t>Almeno il 75% dei prodotti chimici utilizzati per la pulizia ordinaria possiede un marchio di qualità ecologica (ecolabel) riconosciuto. (I)</t>
        </is>
      </c>
      <c r="D118" s="6" t="inlineStr">
        <is>
          <t>Imperativo</t>
        </is>
      </c>
      <c r="E118" s="6" t="inlineStr">
        <is>
          <t>Riorganizzazione:
- Spostato al punto 6. Approvvigionamento
Moderato: ⓘ Adeguamento nazionale: In Francia e Paesi Bassi, il 100% dei prodotti chimici per la pulizia utilizzati per la pulizia ordinaria e in Danimarca, Finlandia, Svezia e Norvegia, il 90% dei prodotti chimici per la pulizia utilizzati per la pulizia ordinaria in tutte le aree della struttura possiede un'etichetta ecologica riconosciuta a livello internazionale o nazionale. Ciò include i prodotti utilizzati per la pulizia ordinaria delle camere, delle sale conferenze, dei ristoranti, delle aree comuni (escluse le piscine) e delle aree riservate al personale (escluse cucine e lavanderie). Nel FR, il criterio si applica anche al 100% dei prodotti per le aree lavanderia e al 75% dei prodotti per le cucine.
Modifiche minori:
- Modifica della formulazione, da "quotidiano" a "di routine"
- Miglioramento della formulazione
Modifiche all'audit:
- Sono state fornite istruzioni più dettagliate su cosa includere nell'audit e il processo di audit è stato rafforzato (ora sono obbligatori 3 campioni casuali (metodologia C) e l'esercizio commerciale deve fornire informazioni sul volume o sul peso di ciascun prodotto acquistato negli ultimi 24 o 12 mesi (a seconda dell'anno di certificazione)).</t>
        </is>
      </c>
      <c r="F118" s="6" t="inlineStr">
        <is>
          <t>Medio/basso</t>
        </is>
      </c>
      <c r="G118" s="6" t="inlineStr">
        <is>
          <t>Vito Quarto – Executive Chef</t>
        </is>
      </c>
      <c r="H118" s="6" t="inlineStr"/>
      <c r="I118" s="6" t="inlineStr">
        <is>
          <t>Formalizzare procurement sostenibile e verificare certificazioni/fornitori.</t>
        </is>
      </c>
      <c r="J118" s="6" t="inlineStr">
        <is>
          <t>NO</t>
        </is>
      </c>
      <c r="K118" s="6" t="inlineStr">
        <is>
          <t>DA VERIFICARE</t>
        </is>
      </c>
      <c r="L118" s="6" t="inlineStr"/>
      <c r="M118" s="6" t="inlineStr">
        <is>
          <t>Da definire in gap audit</t>
        </is>
      </c>
      <c r="N118" s="6" t="inlineStr"/>
    </row>
    <row r="119">
      <c r="A119" s="6" t="inlineStr">
        <is>
          <t>6.24</t>
        </is>
      </c>
      <c r="B119" s="6" t="inlineStr">
        <is>
          <t>Acquisti / F&amp;B</t>
        </is>
      </c>
      <c r="C119" s="6" t="inlineStr">
        <is>
          <t>L'uso di sostanze disinfettanti è limitato a casi di chiaro rischio igienico o criticità sanitaria (I)</t>
        </is>
      </c>
      <c r="D119" s="6" t="inlineStr">
        <is>
          <t>Imperativo</t>
        </is>
      </c>
      <c r="E119" s="6" t="inlineStr">
        <is>
          <t>Riorganizzazione:
- Spostato al punto 6. Approvvigionamento
Moderato:
- Adeguamento nazionale: Nel Regolamento Federale, per i casi di cui al requisito, in cui è consentito l'uso di sostanze disinfettanti, vengono utilizzati solo prodotti con certificazione ecologica o alternative non chimiche.
Minore:
- Miglioramento della formulazione
Modifiche all'audit:
- Formulazione dell'audit aggiornata, ma non sono state apportate modifiche sostanziali al processo di audit</t>
        </is>
      </c>
      <c r="F119" s="6" t="inlineStr">
        <is>
          <t>Basso</t>
        </is>
      </c>
      <c r="G119" s="6" t="inlineStr">
        <is>
          <t>Georgiana Radescu – Housekeeping</t>
        </is>
      </c>
      <c r="H119" s="6" t="inlineStr"/>
      <c r="I119" s="6" t="inlineStr">
        <is>
          <t>Formalizzare procurement sostenibile e verificare certificazioni/fornitori.</t>
        </is>
      </c>
      <c r="J119" s="6" t="inlineStr">
        <is>
          <t>NO</t>
        </is>
      </c>
      <c r="K119" s="6" t="inlineStr">
        <is>
          <t>DA VERIFICARE</t>
        </is>
      </c>
      <c r="L119" s="6" t="inlineStr"/>
      <c r="M119" s="6" t="inlineStr">
        <is>
          <t>Da definire in gap audit</t>
        </is>
      </c>
      <c r="N119" s="6" t="inlineStr"/>
    </row>
    <row r="120">
      <c r="A120" s="6" t="inlineStr">
        <is>
          <t>6.25</t>
        </is>
      </c>
      <c r="B120" s="6" t="inlineStr">
        <is>
          <t>Acquisti / F&amp;B</t>
        </is>
      </c>
      <c r="C120" s="6" t="inlineStr">
        <is>
          <t>Tutti i prodotti in carta per uso igienicosanitario sono certificati con un marchio di qualità ecologica (ecolabel). (I)</t>
        </is>
      </c>
      <c r="D120" s="6" t="inlineStr">
        <is>
          <t>Imperativo</t>
        </is>
      </c>
      <c r="E120" s="6" t="inlineStr">
        <is>
          <t>Riorganizzazione:
- Spostato al punto 6. Approvvigionamento
Modalità moderata:
- Ampliato il criterio a "tutti i prodotti di carta tissue"
- Modificato in modo che la carta non sbiancata al cloro sia accettata solo "Laddove i prodotti cartacei eco-label non siano disponibili sul mercato, la carta sbiancata senza cloro è accettata 
come alternativa, a condizione che la struttura possa documentare la mancanza di disponibilità dei prodotti 
certificati."
Modalità minore:
- Miglioramento della formulazione
Modifiche all'audit:
- Chiarito e aggiornato il processo di audit in modo che copra il contenuto del nuovo criterio, sono state fornite istruzioni più dettagliate su cosa deve essere incluso nell'audit e ora sono obbligatori 3 campioni casuali (metodologia C)</t>
        </is>
      </c>
      <c r="F120" s="6" t="inlineStr">
        <is>
          <t>Medio/basso</t>
        </is>
      </c>
      <c r="G120" s="6" t="inlineStr">
        <is>
          <t>Vito Quarto – Executive Chef</t>
        </is>
      </c>
      <c r="H120" s="6" t="inlineStr"/>
      <c r="I120" s="6" t="inlineStr">
        <is>
          <t>Formalizzare procurement sostenibile e verificare certificazioni/fornitori.</t>
        </is>
      </c>
      <c r="J120" s="6" t="inlineStr">
        <is>
          <t>NO</t>
        </is>
      </c>
      <c r="K120" s="6" t="inlineStr">
        <is>
          <t>DA VERIFICARE</t>
        </is>
      </c>
      <c r="L120" s="6" t="inlineStr"/>
      <c r="M120" s="6" t="inlineStr">
        <is>
          <t>Da definire in gap audit</t>
        </is>
      </c>
      <c r="N120" s="6" t="inlineStr"/>
    </row>
    <row r="121">
      <c r="A121" s="6" t="inlineStr">
        <is>
          <t>6.26</t>
        </is>
      </c>
      <c r="B121" s="6" t="inlineStr">
        <is>
          <t>Acquisti / F&amp;B</t>
        </is>
      </c>
      <c r="C121" s="6" t="inlineStr">
        <is>
          <t>Tutti i detersivi per lavastoviglie e i brillantanti hanno un marchio di qualità ecologica (eco label) riconosciuto. (G)</t>
        </is>
      </c>
      <c r="D121" s="6" t="inlineStr">
        <is>
          <t>Guida</t>
        </is>
      </c>
      <c r="E121" s="6" t="inlineStr">
        <is>
          <t>Riorganizzazione:
- Spostato al punto 6. Approvvigionamento
Modalità moderata:
- Aggiunti i "brillanti" al criterio.
- Adattamento nazionale: In Francia, questo criterio è obbligatorio. In Danimarca, Finlandia, Norvegia e Svezia, è obbligatorio che il 90% dei detersivi per lavastoviglie e dei brillantanti abbia un'etichetta ecologica riconosciuta.
- Aggiunta la seguente precisazione: "La conformità al criterio viene dimostrata in base alle quantità (in volume o peso) dei prodotti per la pulizia ordinaria acquistati durante il periodo di riferimento, utilizzando i registri d'acquisto come base per il calcolo. Il periodo di riferimento corrisponde agli ultimi 24 mesi precedenti l'audit (o agli ultimi 6 mesi per i nuovi)."
Modalità minore:
- Miglioramento della formulazione
Modifiche all'audit:
- Aggiornato il processo di audit in modo da includere il contenuto del nuovo criterio (detergenti per lavastoviglie e brillantanti) e ora sono obbligatori 3 campioni casuali (metodologia C).</t>
        </is>
      </c>
      <c r="F121" s="6" t="inlineStr">
        <is>
          <t>Medio/basso</t>
        </is>
      </c>
      <c r="G121" s="6" t="inlineStr">
        <is>
          <t>Georgiana Radescu – Housekeeping</t>
        </is>
      </c>
      <c r="H121" s="6" t="inlineStr"/>
      <c r="I121" s="6" t="inlineStr">
        <is>
          <t>Formalizzare procurement sostenibile e verificare certificazioni/fornitori.</t>
        </is>
      </c>
      <c r="J121" s="6" t="inlineStr">
        <is>
          <t>NO</t>
        </is>
      </c>
      <c r="K121" s="6" t="inlineStr">
        <is>
          <t>DA VERIFICARE</t>
        </is>
      </c>
      <c r="L121" s="6" t="inlineStr"/>
      <c r="M121" s="6" t="inlineStr">
        <is>
          <t>Da definire in gap audit</t>
        </is>
      </c>
      <c r="N121" s="6" t="inlineStr"/>
    </row>
    <row r="122">
      <c r="A122" s="6" t="inlineStr">
        <is>
          <t>6.27</t>
        </is>
      </c>
      <c r="B122" s="6" t="inlineStr">
        <is>
          <t>Acquisti / F&amp;B</t>
        </is>
      </c>
      <c r="C122" s="6" t="inlineStr">
        <is>
          <t>Tutti i detersivi  per il bucato hanno un marchio di qualità ecologica (eco label) riconosciuto. (G)</t>
        </is>
      </c>
      <c r="D122" s="6" t="inlineStr">
        <is>
          <t>Guida</t>
        </is>
      </c>
      <c r="E122" s="6" t="inlineStr">
        <is>
          <t>Riorganizzazione:
- Spostato al punto 6. Approvvigionamento
Moderato:
- Aggiunto chiarimento che il criterio si applica solo al servizio di lavanderia interno. Se il servizio di lavanderia è esternalizzato, l'azienda dovrebbe incoraggiare la ditta di lavanderia a utilizzare detersivi con un'etichetta ecologica riconosciuta.
ⓘ Adattamento nazionale: In Finlandia, Francia, Norvegia e Svezia, questo criterio è obbligatorio.
Minore:
- Miglioramento della formulazione
Modifiche all'audit:
- Aggiornata la formulazione dell'audit e modificata in modo che ora siano obbligatori 3 campioni (metodologia C)</t>
        </is>
      </c>
      <c r="F122" s="6" t="inlineStr">
        <is>
          <t>Medio/basso</t>
        </is>
      </c>
      <c r="G122" s="6" t="inlineStr">
        <is>
          <t>Georgiana Radescu – Housekeeping</t>
        </is>
      </c>
      <c r="H122" s="6" t="inlineStr"/>
      <c r="I122" s="6" t="inlineStr">
        <is>
          <t>Formalizzare procurement sostenibile e verificare certificazioni/fornitori.</t>
        </is>
      </c>
      <c r="J122" s="6" t="inlineStr">
        <is>
          <t>NO</t>
        </is>
      </c>
      <c r="K122" s="6" t="inlineStr">
        <is>
          <t>DA VERIFICARE</t>
        </is>
      </c>
      <c r="L122" s="6" t="inlineStr"/>
      <c r="M122" s="6" t="inlineStr">
        <is>
          <t>Da definire in gap audit</t>
        </is>
      </c>
      <c r="N122" s="6" t="inlineStr"/>
    </row>
    <row r="123">
      <c r="A123" s="6" t="inlineStr">
        <is>
          <t>6.28</t>
        </is>
      </c>
      <c r="B123" s="6" t="inlineStr">
        <is>
          <t>Acquisti / F&amp;B</t>
        </is>
      </c>
      <c r="C123" s="6" t="inlineStr">
        <is>
          <t>Per la pulizia ordinaria vengono utilizzati prodotti chimici concentrati e sistemi di diluizione sicuri. (G)</t>
        </is>
      </c>
      <c r="D123" s="6" t="inlineStr">
        <is>
          <t>Guida</t>
        </is>
      </c>
      <c r="E123" s="6" t="inlineStr">
        <is>
          <t>Riorganizzazione:
- Spostato al punto 6. Approvvigionamento
Moderato:
- Aggiunto che i sistemi di dosaggio automatico (diluizione) sono preferibili. I sistemi manuali controllati sono accettabili laddove garantiscano una diluizione accurata e riducano al minimo l'esposizione.
Minore:
- Modificata la formulazione da "quotidiano" a "di routine".
- Miglioramento della formulazione.
Modifiche all'audit:
- Sono state fornite istruzioni più dettagliate su cosa includere nell'audit. Aggiunto che, in circostanze specifiche, laddove venga utilizzato il dosaggio manuale, l'azienda deve anche presentare la documentazione relativa alla formazione sulla sicurezza e la manipolazione dei prodotti chimici per il personale interessato.</t>
        </is>
      </c>
      <c r="F123" s="6" t="inlineStr">
        <is>
          <t>Basso</t>
        </is>
      </c>
      <c r="G123" s="6" t="inlineStr">
        <is>
          <t>Georgiana Radescu – Housekeeping</t>
        </is>
      </c>
      <c r="H123" s="6" t="inlineStr"/>
      <c r="I123" s="6" t="inlineStr">
        <is>
          <t>Formalizzare procurement sostenibile e verificare certificazioni/fornitori.</t>
        </is>
      </c>
      <c r="J123" s="6" t="inlineStr">
        <is>
          <t>NO</t>
        </is>
      </c>
      <c r="K123" s="6" t="inlineStr">
        <is>
          <t>DA VERIFICARE</t>
        </is>
      </c>
      <c r="L123" s="6" t="inlineStr"/>
      <c r="M123" s="6" t="inlineStr">
        <is>
          <t>Da definire in gap audit</t>
        </is>
      </c>
      <c r="N123" s="6" t="inlineStr"/>
    </row>
    <row r="124">
      <c r="A124" s="6" t="inlineStr">
        <is>
          <t>6.29</t>
        </is>
      </c>
      <c r="B124" s="6" t="inlineStr">
        <is>
          <t>Acquisti / F&amp;B</t>
        </is>
      </c>
      <c r="C124" s="6" t="inlineStr">
        <is>
          <t>Tutti i prodotti cosmetici possiedono un marchio di qualità ecologica (eco label) riconosciuto a livello nazionale o internazionale. (G)</t>
        </is>
      </c>
      <c r="D124" s="6" t="inlineStr">
        <is>
          <t>Guida</t>
        </is>
      </c>
      <c r="E124" s="6" t="inlineStr">
        <is>
          <t>Riorganizzazione:
- Spostato al punto 6. Approvvigionamento
Molto importante:
- Rafforzato dal 75% al ​​totale
Moderato:
- Ampliato il requisito, da "sapone, bagnoschiuma e shampoo" a "tutti i prodotti cosmetici"
Modifica minore:
- Miglioramento della formulazione
Modifiche all'audit:
- Modificato il processo di audit in un'ispezione visiva, con 3 campioni casuali obbligatori (metodologia C)</t>
        </is>
      </c>
      <c r="F124" s="6" t="inlineStr">
        <is>
          <t>Alto</t>
        </is>
      </c>
      <c r="G124" s="6" t="inlineStr">
        <is>
          <t>Georgiana Radescu – Housekeeping</t>
        </is>
      </c>
      <c r="H124" s="6" t="inlineStr"/>
      <c r="I124" s="6" t="inlineStr">
        <is>
          <t>Housekeeping: verificare procedure camere, prodotti cosmetici e certificazioni.</t>
        </is>
      </c>
      <c r="J124" s="6" t="inlineStr">
        <is>
          <t>NO</t>
        </is>
      </c>
      <c r="K124" s="6" t="inlineStr">
        <is>
          <t>DA VERIFICARE</t>
        </is>
      </c>
      <c r="L124" s="6" t="inlineStr"/>
      <c r="M124" s="6" t="inlineStr">
        <is>
          <t>Da definire in gap audit</t>
        </is>
      </c>
      <c r="N124" s="6" t="inlineStr"/>
    </row>
    <row r="125">
      <c r="A125" s="6" t="inlineStr">
        <is>
          <t>6.30</t>
        </is>
      </c>
      <c r="B125" s="6" t="inlineStr">
        <is>
          <t>Acquisti / F&amp;B</t>
        </is>
      </c>
      <c r="C125" s="6" t="inlineStr">
        <is>
          <t>Vengono utilizzati metodi di pulizia a ridotto contenuto di sostanze chimiche o privi di sostanze chimiche. (G)</t>
        </is>
      </c>
      <c r="D125" s="6" t="inlineStr">
        <is>
          <t>Guida</t>
        </is>
      </c>
      <c r="E125" s="6" t="inlineStr">
        <is>
          <t>Riorganizzazione:
- Spostato al punto 6. Approvvigionamento
Moderata:
- Modificato da "metodi di pulizia e disinfezione senza sostanze chimiche" a "metodi di pulizia a ridotto utilizzo di sostanze chimiche o senza sostanze chimiche"
- Aggiunto che "La struttura utilizza metodi di pulizia a ridotto contenuto di sostanze chimiche o privi di sostanze chimiche che 
riducono al minimo o eliminano la necessità di agenti chimici per almeno 1 area, attività o servizio definito, su base regolare (es. giornaliera o settimanale). "
Minore:
- Miglioramento della formulazione
Modifiche all'audit:
- Aggiornata la formulazione dell'audit e aggiunta l'alternativa "In alternativa, l'ispezione visiva conferma la presenza delle attrezzature per la pulizia a ridotto utilizzo di sostanze chimiche o senza sostanze chimiche". A parte questo, non sono state apportate modifiche al processo di audit.</t>
        </is>
      </c>
      <c r="F125" s="6" t="inlineStr">
        <is>
          <t>Basso</t>
        </is>
      </c>
      <c r="G125" s="6" t="inlineStr">
        <is>
          <t>Georgiana Radescu – Housekeeping</t>
        </is>
      </c>
      <c r="H125" s="6" t="inlineStr"/>
      <c r="I125" s="6" t="inlineStr">
        <is>
          <t>Formalizzare procurement sostenibile e verificare certificazioni/fornitori.</t>
        </is>
      </c>
      <c r="J125" s="6" t="inlineStr">
        <is>
          <t>NO</t>
        </is>
      </c>
      <c r="K125" s="6" t="inlineStr">
        <is>
          <t>DA VERIFICARE</t>
        </is>
      </c>
      <c r="L125" s="6" t="inlineStr"/>
      <c r="M125" s="6" t="inlineStr">
        <is>
          <t>Da definire in gap audit</t>
        </is>
      </c>
      <c r="N125" s="6" t="inlineStr"/>
    </row>
    <row r="126">
      <c r="A126" s="6" t="inlineStr">
        <is>
          <t>6.31</t>
        </is>
      </c>
      <c r="B126" s="6" t="inlineStr">
        <is>
          <t>Acquisti / F&amp;B</t>
        </is>
      </c>
      <c r="C126" s="6" t="inlineStr">
        <is>
          <t>Vengono utilizzati esclusivamente prodotti privi di fragranze e profumi per il lavaggio, la pulizia o la cura delle camere. (G)</t>
        </is>
      </c>
      <c r="D126" s="6" t="inlineStr">
        <is>
          <t>Guida</t>
        </is>
      </c>
      <c r="E126" s="6" t="inlineStr">
        <is>
          <t>Riorganizzazione:
- Spostato al punto 6. Approvvigionamento
Moderato:
- Aggiunto il criterio "pulizia della camera".
Minore:
- Miglioramento della formulazione
Modifiche all'audit:
- Aggiornato il processo di audit in modo che la "pulizia della camera" sia inclusa nel requisito e rafforzato aggiungendo che ora sono richiesti 3 campioni (metodologia C)</t>
        </is>
      </c>
      <c r="F126" s="6" t="inlineStr">
        <is>
          <t>medio/basso</t>
        </is>
      </c>
      <c r="G126" s="6" t="inlineStr">
        <is>
          <t>Georgiana Radescu – Housekeeping</t>
        </is>
      </c>
      <c r="H126" s="6" t="inlineStr"/>
      <c r="I126" s="6" t="inlineStr">
        <is>
          <t>Formalizzare procurement sostenibile e verificare certificazioni/fornitori.</t>
        </is>
      </c>
      <c r="J126" s="6" t="inlineStr">
        <is>
          <t>NO</t>
        </is>
      </c>
      <c r="K126" s="6" t="inlineStr">
        <is>
          <t>DA VERIFICARE</t>
        </is>
      </c>
      <c r="L126" s="6" t="inlineStr"/>
      <c r="M126" s="6" t="inlineStr">
        <is>
          <t>Da definire in gap audit</t>
        </is>
      </c>
      <c r="N126" s="6" t="inlineStr"/>
    </row>
    <row r="127">
      <c r="A127" s="6" t="inlineStr">
        <is>
          <t>7.1</t>
        </is>
      </c>
      <c r="B127" s="6" t="inlineStr">
        <is>
          <t>Ambiente di vita</t>
        </is>
      </c>
      <c r="C127" s="6" t="inlineStr">
        <is>
          <t>Le aree interne del ristorante sono per non fumatori e tutte le altre aree comuni sono per non fumatori o dispongono di</t>
        </is>
      </c>
      <c r="D127" s="6" t="inlineStr">
        <is>
          <t>Da verificare</t>
        </is>
      </c>
      <c r="E127" s="6" t="inlineStr">
        <is>
          <t>Riorganizzazione:
- Spostato al punto 7. Ambiente di vita
Moderato:
- Modificato da ristoranti ad aree interne di ristorazione. Aggiunto che  "tutti i ristoranti al chiuso sono per non fumatori e le aree 
comuni della struttura sono mantenute come zone per non fumatori o dotate di zone per non fumatori chiaramente  separate"
- Aggiunto che "La struttura fornisce inoltre posacenere o contenitori per lo smaltimento delle sigarette sicuri dal punto di vista antincendio e chiaramente contrassegnati nelle aree fumatori designate"
Minore:
- Miglioramento della formulazione
Modifiche all'audit:
- Aggiornato il processo di audit in modo che copra il contenuto del nuovo criterio e sono state fornite istruzioni più dettagliate su cosa deve essere incluso nell'audit. Aggiunto che l'auditor deve verificare che "Tutte le aree fumatori designate siano dotate di posacenere o contenitori per sigarette e che questi siano utilizzati correttamente; ciò significa che l'area circostante deve essere priva di mozziconi di sigaretta. Se sono presenti residui di sigarette, la struttura deve implementare una formazione155 o altre misure per garantire l'uso e la manutenzione corretti dell'area fumatori".</t>
        </is>
      </c>
      <c r="F127" s="6" t="inlineStr">
        <is>
          <t>Medio/Basso</t>
        </is>
      </c>
      <c r="G127" s="6" t="inlineStr">
        <is>
          <t>Jonathan Pezzino – Green Key / Green Team</t>
        </is>
      </c>
      <c r="H127" s="6" t="inlineStr"/>
      <c r="I127" s="6" t="inlineStr">
        <is>
          <t>Verificare ambiente interno, gestione verde, pesticidi/fertilizzanti, biodiversità e sviluppo sito.</t>
        </is>
      </c>
      <c r="J127" s="6" t="inlineStr">
        <is>
          <t>NO</t>
        </is>
      </c>
      <c r="K127" s="6" t="inlineStr">
        <is>
          <t>DA VERIFICARE</t>
        </is>
      </c>
      <c r="L127" s="6" t="inlineStr"/>
      <c r="M127" s="6" t="inlineStr">
        <is>
          <t>Da definire in gap audit</t>
        </is>
      </c>
      <c r="N127" s="6" t="inlineStr"/>
    </row>
    <row r="128">
      <c r="A128" s="6" t="inlineStr">
        <is>
          <t>7.2</t>
        </is>
      </c>
      <c r="B128" s="6" t="inlineStr">
        <is>
          <t>Ambiente di vita</t>
        </is>
      </c>
      <c r="C128" s="6" t="inlineStr">
        <is>
          <t>Tutte le sale riunioni e le camere degli ospiti sono per non fumatori. (I)</t>
        </is>
      </c>
      <c r="D128" s="6" t="inlineStr">
        <is>
          <t>Imperativo</t>
        </is>
      </c>
      <c r="E128" s="6" t="inlineStr">
        <is>
          <t>Riorganizzazione:
- Spostato al punto 7. Ambiente di vita
Modifiche principali:
- Rinforzato dal 75% a tutte le sale riunioni e camere
- Aggiunta l'opzione che "Nei paesi in cui ciò non è fattibile a causa di requisiti legislativi o culturali, le sale riunioni sono non fumatori senza eccezioni e almeno il 75% delle camere è non fumatori."
Modifiche moderate:
- Adattamento nazionale: in Belgio e Svezia, tutte le sale riunioni e camere sono non fumatori senza eccezioni.
Modifiche minori:
- Miglioramento della formulazione
Modifiche all'audit:
- Aggiornato il processo di audit in modo che copra il contenuto del nuovo criterio (tutte le sale riunioni e camere) e sono state fornite istruzioni più dettagliate su cosa deve essere incluso nell'audit per i paesi in cui il criterio non è fattibile a causa di requisiti legislativi o culturali.</t>
        </is>
      </c>
      <c r="F128" s="6" t="inlineStr">
        <is>
          <t>Alto</t>
        </is>
      </c>
      <c r="G128" s="6" t="inlineStr">
        <is>
          <t>Jonathan Pezzino – Green Key / Green Team</t>
        </is>
      </c>
      <c r="H128" s="6" t="inlineStr"/>
      <c r="I128" s="6" t="inlineStr">
        <is>
          <t>Verificare ambiente interno, gestione verde, pesticidi/fertilizzanti, biodiversità e sviluppo sito.</t>
        </is>
      </c>
      <c r="J128" s="6" t="inlineStr">
        <is>
          <t>NO</t>
        </is>
      </c>
      <c r="K128" s="6" t="inlineStr">
        <is>
          <t>DA VERIFICARE</t>
        </is>
      </c>
      <c r="L128" s="6" t="inlineStr"/>
      <c r="M128" s="6" t="inlineStr">
        <is>
          <t>Da definire in gap audit</t>
        </is>
      </c>
      <c r="N128" s="6" t="inlineStr"/>
    </row>
    <row r="129">
      <c r="A129" s="6" t="inlineStr">
        <is>
          <t>7.3</t>
        </is>
      </c>
      <c r="B129" s="6" t="inlineStr">
        <is>
          <t>Ambiente di vita</t>
        </is>
      </c>
      <c r="C129" s="6" t="inlineStr">
        <is>
          <t>La struttura ha una policy per il personale relativa al fumo durante l'orario di lavoro. (I)</t>
        </is>
      </c>
      <c r="D129" s="6" t="inlineStr">
        <is>
          <t>Imperativo</t>
        </is>
      </c>
      <c r="E129" s="6" t="inlineStr">
        <is>
          <t>Riorganizzazione:
- Spostato al punto 7. Ambiente di vita
Moderato:
- Aggiunto che "Il personale è autorizzato a fumare solo in aree chiaramente separate fisicamente, in modo che il fumo non abbia alcun 
impatto negativo sugli ospiti o sul personale nelle aree/camere per non fumatori. La struttura fornisce inoltre posacenere o contenitori per lo smaltimento delle sigarette chiaramente contrassegnati e a prova di incendio nelle aree designate per i fumatori."
Minore:
- Miglioramento della formulazione
Modifiche all'audit:
- Sono state fornite istruzioni più dettagliate su cosa includere nell'audit e la procedura di audit è stata rafforzata: ora è richiesta un'ispezione visiva.</t>
        </is>
      </c>
      <c r="F129" s="6" t="inlineStr">
        <is>
          <t>Medio/basso</t>
        </is>
      </c>
      <c r="G129" s="6" t="inlineStr">
        <is>
          <t>Jonathan Pezzino – Green Key / Green Team</t>
        </is>
      </c>
      <c r="H129" s="6" t="inlineStr"/>
      <c r="I129" s="6" t="inlineStr">
        <is>
          <t>Verificare ambiente interno, gestione verde, pesticidi/fertilizzanti, biodiversità e sviluppo sito.</t>
        </is>
      </c>
      <c r="J129" s="6" t="inlineStr">
        <is>
          <t>NO</t>
        </is>
      </c>
      <c r="K129" s="6" t="inlineStr">
        <is>
          <t>DA VERIFICARE</t>
        </is>
      </c>
      <c r="L129" s="6" t="inlineStr"/>
      <c r="M129" s="6" t="inlineStr">
        <is>
          <t>Da definire in gap audit</t>
        </is>
      </c>
      <c r="N129" s="6" t="inlineStr"/>
    </row>
    <row r="130">
      <c r="A130" s="6" t="inlineStr">
        <is>
          <t>7.4</t>
        </is>
      </c>
      <c r="B130" s="6" t="inlineStr">
        <is>
          <t>Ambiente di vita</t>
        </is>
      </c>
      <c r="C130" s="6" t="inlineStr">
        <is>
          <t>La qualità dell'aria interna in almeno 2 aree della struttura è monitorata almeno una volta all'anno. (G)</t>
        </is>
      </c>
      <c r="D130" s="6" t="inlineStr">
        <is>
          <t>Guida</t>
        </is>
      </c>
      <c r="E130" s="6" t="inlineStr">
        <is>
          <t>Riorganizzazione:
- Spostato al punto 7. Ambiente di vita
Modifiche minori:
- Chiarito nel titolo del requisito che la qualità dell'aria interna in almeno 2 aree della struttura deve essere monitorata almeno una volta all'anno (precedentemente menzionato solo nel testo del requisito).
- Miglioramento della formulazione
Modifiche all'audit:
- Aggiornata la formulazione dell'audit, ma non sono state apportate modifiche al processo di audit.</t>
        </is>
      </c>
      <c r="F130" s="6" t="inlineStr">
        <is>
          <t>Basso</t>
        </is>
      </c>
      <c r="G130" s="6" t="inlineStr">
        <is>
          <t>Jonathan Pezzino – Green Key / Green Team</t>
        </is>
      </c>
      <c r="H130" s="6" t="inlineStr"/>
      <c r="I130" s="6" t="inlineStr">
        <is>
          <t>Verificare ambiente interno, gestione verde, pesticidi/fertilizzanti, biodiversità e sviluppo sito.</t>
        </is>
      </c>
      <c r="J130" s="6" t="inlineStr">
        <is>
          <t>NO</t>
        </is>
      </c>
      <c r="K130" s="6" t="inlineStr">
        <is>
          <t>DA VERIFICARE</t>
        </is>
      </c>
      <c r="L130" s="6" t="inlineStr"/>
      <c r="M130" s="6" t="inlineStr">
        <is>
          <t>Da definire in gap audit</t>
        </is>
      </c>
      <c r="N130" s="6" t="inlineStr"/>
    </row>
    <row r="131">
      <c r="A131" s="6" t="inlineStr">
        <is>
          <t>7.5</t>
        </is>
      </c>
      <c r="B131" s="6" t="inlineStr">
        <is>
          <t>Ambiente di vita</t>
        </is>
      </c>
      <c r="C131" s="6" t="inlineStr">
        <is>
          <t>Elementi autentici della cultura locale sono integrati nella gestione o in occasione di lavori di ristrutturazioni o costruzione. (G)</t>
        </is>
      </c>
      <c r="D131" s="6" t="inlineStr">
        <is>
          <t>Guida</t>
        </is>
      </c>
      <c r="E131" s="6" t="inlineStr">
        <is>
          <t>Riorganizzazione:
- Spostato al punto 7. Ambiente di vita
Modifiche minori:
- Miglioramento della formulazione
Modifiche all'audit:
- Sono state fornite istruzioni più dettagliate sulla documentazione da includere nell'audit (prove di pertinenza, riferimenti alla cooperazione o alla consultazione, foto, descrizioni dei fornitori o dichiarazioni scritte e una breve dichiarazione)</t>
        </is>
      </c>
      <c r="F131" s="6" t="inlineStr">
        <is>
          <t>Basso</t>
        </is>
      </c>
      <c r="G131" s="6" t="inlineStr">
        <is>
          <t>Jonathan Pezzino – Green Key / Green Team</t>
        </is>
      </c>
      <c r="H131" s="6" t="inlineStr"/>
      <c r="I131" s="6" t="inlineStr">
        <is>
          <t>Verificare ambiente interno, gestione verde, pesticidi/fertilizzanti, biodiversità e sviluppo sito.</t>
        </is>
      </c>
      <c r="J131" s="6" t="inlineStr">
        <is>
          <t>NO</t>
        </is>
      </c>
      <c r="K131" s="6" t="inlineStr">
        <is>
          <t>DA VERIFICARE</t>
        </is>
      </c>
      <c r="L131" s="6" t="inlineStr"/>
      <c r="M131" s="6" t="inlineStr">
        <is>
          <t>Da definire in gap audit</t>
        </is>
      </c>
      <c r="N131" s="6" t="inlineStr"/>
    </row>
    <row r="132">
      <c r="A132" s="6" t="inlineStr">
        <is>
          <t>7.6</t>
        </is>
      </c>
      <c r="B132" s="6" t="inlineStr">
        <is>
          <t>Ambiente di vita</t>
        </is>
      </c>
      <c r="C132" s="6" t="inlineStr">
        <is>
          <t>Gli impatti sull’ambiente e sulla biodiversità vengono valutati e affrontati prima di ogni nuovo sviluppo, espansione o importante lavoro di costruzione/ristrutturazione.(G)</t>
        </is>
      </c>
      <c r="D132" s="6" t="inlineStr">
        <is>
          <t>Guida</t>
        </is>
      </c>
      <c r="E132" s="6" t="inlineStr">
        <is>
          <t>Importante:
- Nuovo requisito (linea guida)</t>
        </is>
      </c>
      <c r="F132" s="6" t="inlineStr">
        <is>
          <t>medio</t>
        </is>
      </c>
      <c r="G132" s="6" t="inlineStr">
        <is>
          <t>Jonathan Pezzino – Green Key / Green Team</t>
        </is>
      </c>
      <c r="H132" s="6" t="inlineStr"/>
      <c r="I132" s="6" t="inlineStr">
        <is>
          <t>Verificare ambiente interno, gestione verde, pesticidi/fertilizzanti, biodiversità e sviluppo sito.</t>
        </is>
      </c>
      <c r="J132" s="6" t="inlineStr">
        <is>
          <t>NO</t>
        </is>
      </c>
      <c r="K132" s="6" t="inlineStr">
        <is>
          <t>DA VERIFICARE</t>
        </is>
      </c>
      <c r="L132" s="6" t="inlineStr"/>
      <c r="M132" s="6" t="inlineStr">
        <is>
          <t>Da definire in gap audit</t>
        </is>
      </c>
      <c r="N132" s="6" t="inlineStr"/>
    </row>
    <row r="133">
      <c r="A133" s="6" t="inlineStr">
        <is>
          <t>7.7</t>
        </is>
      </c>
      <c r="B133" s="6" t="inlineStr">
        <is>
          <t>Ambiente di vita</t>
        </is>
      </c>
      <c r="C133" s="6" t="inlineStr">
        <is>
          <t>Vengono utilizzati materiali sostenibili per i lavori di ristrutturazione o costruzione iniziati e/o completati negli ultimi 24</t>
        </is>
      </c>
      <c r="D133" s="6" t="inlineStr">
        <is>
          <t>Da verificare</t>
        </is>
      </c>
      <c r="E133" s="6" t="inlineStr">
        <is>
          <t>Riorganizzazione:
- Spostato al punto 7. Ambiente abitativo
Modalità moderata:
- Aggiunto che"Per le ristrutturazioni o i lavori di costruzione effettuati negli ultimi 24 mesi (per i rinnovi) o 6 mesi (per i nuovi
candidati), la struttura dimostra l’uso di materiali edili e di finitura sostenibili. La struttura garantisce che almeno 2 tipologie di materiali utilizzati nei lavori (ad es. pitture/rivestimenti/vernici; legno e materiali vegetali; pavimentazioni; isolamento; adesivi/sigillanti; altri materiali pertinenti) soddisfino i requisiti di prodotto sostenibile elencati "
- Ampliato l'ambito di applicazione, da "materiali ecocompatibili" a "materiali sostenibili".
Modalità minore:
- Miglioramento della formulazione.
Modifiche all'audit:
- Chiarito e aggiornato il processo di audit in modo che copra il contenuto del nuovo criterio, sono state fornite istruzioni più dettagliate su cosa deve essere incluso nell'audit ed è stato rafforzato il processo di audit: i richiedenti che rinnovano la certificazione devono presentare la documentazione richiesta per gli ultimi 24 mesi, i richiedenti che presentano la prima certificazione per gli ultimi 12 mesi. Aggiunto che, ove opportuno, un'ispezione visiva conferma la presenza di prodotti con etichetta ecologica o certificati come sostenibili.</t>
        </is>
      </c>
      <c r="F133" s="6" t="inlineStr">
        <is>
          <t>Medio/basso</t>
        </is>
      </c>
      <c r="G133" s="6" t="inlineStr">
        <is>
          <t>Jonathan Pezzino – Green Key / Green Team</t>
        </is>
      </c>
      <c r="H133" s="6" t="inlineStr"/>
      <c r="I133" s="6" t="inlineStr">
        <is>
          <t>Verificare ambiente interno, gestione verde, pesticidi/fertilizzanti, biodiversità e sviluppo sito.</t>
        </is>
      </c>
      <c r="J133" s="6" t="inlineStr">
        <is>
          <t>NO</t>
        </is>
      </c>
      <c r="K133" s="6" t="inlineStr">
        <is>
          <t>DA VERIFICARE</t>
        </is>
      </c>
      <c r="L133" s="6" t="inlineStr"/>
      <c r="M133" s="6" t="inlineStr">
        <is>
          <t>Da definire in gap audit</t>
        </is>
      </c>
      <c r="N133" s="6" t="inlineStr"/>
    </row>
    <row r="134">
      <c r="A134" s="6" t="inlineStr">
        <is>
          <t>7.8</t>
        </is>
      </c>
      <c r="B134" s="6" t="inlineStr">
        <is>
          <t>Ambiente di vita</t>
        </is>
      </c>
      <c r="C134" s="6" t="inlineStr">
        <is>
          <t>L'uso di prodotti agrochimici è ridotto al minimo e rigorosamente controllato. (I)</t>
        </is>
      </c>
      <c r="D134" s="6" t="inlineStr">
        <is>
          <t>Imperativo</t>
        </is>
      </c>
      <c r="E134" s="6" t="inlineStr">
        <is>
          <t>Riorganizzazione:
- Spostato al punto 7. Ambiente di vita
Moderato:
- Ampliamento del campo di applicazione, da "pesticidi e fertilizzanti" a "prodotti agrochimici".
Modificato da "non devono essere utilizzati a meno che non esistano equivalenti biologici o naturali" a "ridotti al minimo e rigorosamente controllati".
Minore:
- Miglioramento della formulazione
Modifiche all'audit:
- Chiarimento e aggiornamento del processo di audit in modo che copra il contenuto del nuovo criterio, sono state fornite istruzioni più dettagliate su cosa deve essere incluso nell'audit e il processo di audit è stato rafforzato: ora è richiesta la documentazione scritta e, ove applicabile, l'auditor controlla 3 campioni (metodologia C).</t>
        </is>
      </c>
      <c r="F134" s="6" t="inlineStr">
        <is>
          <t>Medio/basso</t>
        </is>
      </c>
      <c r="G134" s="6" t="inlineStr">
        <is>
          <t>Jonathan Pezzino – Green Key / Green Team</t>
        </is>
      </c>
      <c r="H134" s="6" t="inlineStr"/>
      <c r="I134" s="6" t="inlineStr">
        <is>
          <t>Verificare ambiente interno, gestione verde, pesticidi/fertilizzanti, biodiversità e sviluppo sito.</t>
        </is>
      </c>
      <c r="J134" s="6" t="inlineStr">
        <is>
          <t>NO</t>
        </is>
      </c>
      <c r="K134" s="6" t="inlineStr">
        <is>
          <t>DA VERIFICARE</t>
        </is>
      </c>
      <c r="L134" s="6" t="inlineStr"/>
      <c r="M134" s="6" t="inlineStr">
        <is>
          <t>Da definire in gap audit</t>
        </is>
      </c>
      <c r="N134" s="6" t="inlineStr"/>
    </row>
    <row r="135">
      <c r="A135" s="6" t="inlineStr">
        <is>
          <t>7.9</t>
        </is>
      </c>
      <c r="B135" s="6" t="inlineStr">
        <is>
          <t>Ambiente di vita</t>
        </is>
      </c>
      <c r="C135" s="6" t="inlineStr">
        <is>
          <t>Le attrezzature per la manutenzione del giardino acquistate di recente sono a trazione elettrica o manuale. (I)</t>
        </is>
      </c>
      <c r="D135" s="6" t="inlineStr">
        <is>
          <t>Imperativo</t>
        </is>
      </c>
      <c r="E135" s="6" t="inlineStr">
        <is>
          <t>Riorganizzazione:
- Spostato al punto 7. Ambiente di vita
Moderato:
- Ampliamento del campo di applicazione, da "tosaerba" ad "attrezzature per la manutenzione del giardino".
Eliminata l'opzione "insignito di un'etichetta ecologica"
Minore:
- Miglioramento della formulazione
Modifiche all'audit:
- Chiarimento e aggiornamento del processo di audit per includere il contenuto del nuovo criterio, e rafforzamento del processo di audit: i richiedenti che rinnovano la certificazione devono fornire le informazioni richieste per gli ultimi 24 mesi, i richiedenti che la presentano per la prima volta per gli ultimi 12 mesi. Se la manutenzione viene eseguita da una ditta esterna: è richiesta la documentazione relativa alla politica scritta del fornitore sull'utilizzo di attrezzature/macchinari presso la struttura.</t>
        </is>
      </c>
      <c r="F135" s="6" t="inlineStr">
        <is>
          <t>Medio/basso</t>
        </is>
      </c>
      <c r="G135" s="6" t="inlineStr">
        <is>
          <t>Jonathan Pezzino – Green Key / Green Team</t>
        </is>
      </c>
      <c r="H135" s="6" t="inlineStr"/>
      <c r="I135" s="6" t="inlineStr">
        <is>
          <t>Verificare ambiente interno, gestione verde, pesticidi/fertilizzanti, biodiversità e sviluppo sito.</t>
        </is>
      </c>
      <c r="J135" s="6" t="inlineStr">
        <is>
          <t>NO</t>
        </is>
      </c>
      <c r="K135" s="6" t="inlineStr">
        <is>
          <t>DA VERIFICARE</t>
        </is>
      </c>
      <c r="L135" s="6" t="inlineStr"/>
      <c r="M135" s="6" t="inlineStr">
        <is>
          <t>Da definire in gap audit</t>
        </is>
      </c>
      <c r="N135" s="6" t="inlineStr"/>
    </row>
    <row r="136">
      <c r="A136" s="6" t="inlineStr">
        <is>
          <t>7.10</t>
        </is>
      </c>
      <c r="B136" s="6" t="inlineStr">
        <is>
          <t>Ambiente di vita</t>
        </is>
      </c>
      <c r="C136" s="6" t="inlineStr">
        <is>
          <t>La struttura adotta iniziative di manutenzione nelle proprie aree verdi secondo i principi della gestione ecologica. (I)</t>
        </is>
      </c>
      <c r="D136" s="6" t="inlineStr">
        <is>
          <t>Imperativo</t>
        </is>
      </c>
      <c r="E136" s="6" t="inlineStr">
        <is>
          <t>Riorganizzazione:
- Spostato al punto 7. Ambiente di vita
Moderato:
- Ampliamento dell'ambito di applicazione, da "procedure di irrigazione di fiori e giardini" a "iniziative di manutenzione delle aree verdi secondo i principi della gestione ecologica"
Minore:
- Miglioramento della formulazione
Modifiche all'audit:
- Chiarimento e aggiornamento del processo di audit in modo che copra il contenuto del nuovo criterio, sono state fornite istruzioni più dettagliate su cosa deve essere incluso nell'audit e il processo di audit è stato rafforzato: ove opportuno, l'auditor effettua dei campioni</t>
        </is>
      </c>
      <c r="F136" s="6" t="inlineStr">
        <is>
          <t>medio/basso</t>
        </is>
      </c>
      <c r="G136" s="6" t="inlineStr">
        <is>
          <t>Jonathan Pezzino – Green Key / Green Team</t>
        </is>
      </c>
      <c r="H136" s="6" t="inlineStr"/>
      <c r="I136" s="6" t="inlineStr">
        <is>
          <t>Verificare ambiente interno, gestione verde, pesticidi/fertilizzanti, biodiversità e sviluppo sito.</t>
        </is>
      </c>
      <c r="J136" s="6" t="inlineStr">
        <is>
          <t>NO</t>
        </is>
      </c>
      <c r="K136" s="6" t="inlineStr">
        <is>
          <t>DA VERIFICARE</t>
        </is>
      </c>
      <c r="L136" s="6" t="inlineStr"/>
      <c r="M136" s="6" t="inlineStr">
        <is>
          <t>Da definire in gap audit</t>
        </is>
      </c>
      <c r="N136" s="6" t="inlineStr"/>
    </row>
    <row r="137">
      <c r="A137" s="6" t="inlineStr">
        <is>
          <t>7.11</t>
        </is>
      </c>
      <c r="B137" s="6" t="inlineStr">
        <is>
          <t>Ambiente di vita</t>
        </is>
      </c>
      <c r="C137" s="6" t="inlineStr">
        <is>
          <t>La struttura adotta iniziative per proteggere e sostenere la biodiversità locale all'interno o intorno ai propri locali. (I)</t>
        </is>
      </c>
      <c r="D137" s="6" t="inlineStr">
        <is>
          <t>Imperativo</t>
        </is>
      </c>
      <c r="E137" s="6" t="inlineStr">
        <is>
          <t>Riorganizzazione:
- Spostato al punto 7. Ambiente di vita
Molto importante:
- Rafforzato a livello I per tutti
Modificato:
- Adattamento nazionale: per SE e NO
Minore:
- Miglioramento della formulazione
Modifiche all'audit:
- Chiarimento e aggiornamento del processo di audit in modo che copra il contenuto del nuovo criterio, sono state fornite istruzioni più dettagliate su cosa deve essere incluso nell'audit e il processo di audit è stato rafforzato: per le richieste di rinnovo, è obbligatorio un registro degli interventi sulla biodiversità e la prova della revisione annuale. È stato aggiunto che, se la manutenzione viene eseguita da una società esterna, è obbligatorio esporre presso la struttura la politica scritta dell'appaltatore in materia di protezione della biodiversità locale. È stato aggiunto che i campionamenti secondo la metodologia A sono obbligatori.</t>
        </is>
      </c>
      <c r="F137" s="6" t="inlineStr">
        <is>
          <t>Alto</t>
        </is>
      </c>
      <c r="G137" s="6" t="inlineStr">
        <is>
          <t>Jonathan Pezzino – Green Key / Green Team</t>
        </is>
      </c>
      <c r="H137" s="6" t="inlineStr"/>
      <c r="I137" s="6" t="inlineStr">
        <is>
          <t>Verificare ambiente interno, gestione verde, pesticidi/fertilizzanti, biodiversità e sviluppo sito.</t>
        </is>
      </c>
      <c r="J137" s="6" t="inlineStr">
        <is>
          <t>NO</t>
        </is>
      </c>
      <c r="K137" s="6" t="inlineStr">
        <is>
          <t>DA VERIFICARE</t>
        </is>
      </c>
      <c r="L137" s="6" t="inlineStr"/>
      <c r="M137" s="6" t="inlineStr">
        <is>
          <t>Da definire in gap audit</t>
        </is>
      </c>
      <c r="N137" s="6" t="inlineStr"/>
    </row>
    <row r="138">
      <c r="A138" s="6" t="inlineStr">
        <is>
          <t>7.12</t>
        </is>
      </c>
      <c r="B138" s="6" t="inlineStr">
        <is>
          <t>Ambiente di vita</t>
        </is>
      </c>
      <c r="C138" s="6" t="inlineStr">
        <is>
          <t>La struttura valuta i rischi e le opportunità legati alla biodiversità e alla natura presenti in loco. (G)</t>
        </is>
      </c>
      <c r="D138" s="6" t="inlineStr">
        <is>
          <t>Guida</t>
        </is>
      </c>
      <c r="E138" s="6" t="inlineStr">
        <is>
          <t>Importante:
- Nuovo requisito (linea guida)</t>
        </is>
      </c>
      <c r="F138" s="6" t="inlineStr">
        <is>
          <t>medio</t>
        </is>
      </c>
      <c r="G138" s="6" t="inlineStr">
        <is>
          <t>Jonathan Pezzino – Green Key</t>
        </is>
      </c>
      <c r="H138" s="6" t="inlineStr"/>
      <c r="I138" s="6" t="inlineStr">
        <is>
          <t>Realizzare assessment scritto rischi/opportunità Natura e Biodiversità del sito.</t>
        </is>
      </c>
      <c r="J138" s="6" t="inlineStr">
        <is>
          <t>NO</t>
        </is>
      </c>
      <c r="K138" s="6" t="inlineStr">
        <is>
          <t>DA VERIFICARE</t>
        </is>
      </c>
      <c r="L138" s="6" t="inlineStr"/>
      <c r="M138" s="6" t="inlineStr">
        <is>
          <t>Da definire in gap audit</t>
        </is>
      </c>
      <c r="N138" s="6" t="inlineStr"/>
    </row>
    <row r="139">
      <c r="A139" s="6" t="inlineStr">
        <is>
          <t>7.13</t>
        </is>
      </c>
      <c r="B139" s="6" t="inlineStr">
        <is>
          <t>Ambiente di vita</t>
        </is>
      </c>
      <c r="C139" s="6" t="inlineStr">
        <is>
          <t>La struttura monitora gli habitat  a supporto della biodiversità e le specie presenti all'interno o nei dintorni della propria</t>
        </is>
      </c>
      <c r="D139" s="6" t="inlineStr">
        <is>
          <t>Da verificare</t>
        </is>
      </c>
      <c r="E139" s="6" t="inlineStr">
        <is>
          <t>Importante:
- Nuovo requisito (linea guida)</t>
        </is>
      </c>
      <c r="F139" s="6" t="inlineStr">
        <is>
          <t>medio</t>
        </is>
      </c>
      <c r="G139" s="6" t="inlineStr">
        <is>
          <t>Jonathan Pezzino – Green Key</t>
        </is>
      </c>
      <c r="H139" s="6" t="inlineStr"/>
      <c r="I139" s="6" t="inlineStr">
        <is>
          <t>Istituire monitoraggio annuale di specie/habitat, inclusa documentazione fotografica.</t>
        </is>
      </c>
      <c r="J139" s="6" t="inlineStr">
        <is>
          <t>NO</t>
        </is>
      </c>
      <c r="K139" s="6" t="inlineStr">
        <is>
          <t>DA VERIFICARE</t>
        </is>
      </c>
      <c r="L139" s="6" t="inlineStr"/>
      <c r="M139" s="6" t="inlineStr">
        <is>
          <t>Da definire in gap audit</t>
        </is>
      </c>
      <c r="N139" s="6" t="inlineStr"/>
    </row>
    <row r="140">
      <c r="A140" s="6" t="inlineStr">
        <is>
          <t>7.14</t>
        </is>
      </c>
      <c r="B140" s="6" t="inlineStr">
        <is>
          <t>Ambiente di vita</t>
        </is>
      </c>
      <c r="C140" s="6" t="inlineStr">
        <is>
          <t>La struttura adotta almeno 1 iniziativa nelle proprie aree verdi per promuovere pratiche alimentari sostenibili. (G)</t>
        </is>
      </c>
      <c r="D140" s="6" t="inlineStr">
        <is>
          <t>Guida</t>
        </is>
      </c>
      <c r="E140" s="6" t="inlineStr">
        <is>
          <t>Riorganizzazione:
- Spostato al punto 7. Ambiente di vita
Modalità moderata:
- Modificato l'obiettivo, da "orto di frutta, erbe aromatiche o ortaggio" a "almeno 1 iniziativa nelle aree verdi per promuovere pratiche alimentari sostenibili".
Modalità minore:
- Miglioramento della formulazione
Modifiche all'audit:
- Chiarito e aggiornato il processo di audit in modo che copra il contenuto del nuovo criterio, sono state fornite istruzioni più dettagliate su cosa deve essere incluso nell'audit e il processo di audit è stato rafforzato: ora è richiesta la documentazione scritta</t>
        </is>
      </c>
      <c r="F140" s="6" t="inlineStr">
        <is>
          <t>Medio/basso</t>
        </is>
      </c>
      <c r="G140" s="6" t="inlineStr">
        <is>
          <t>Vito Quarto – Executive Chef</t>
        </is>
      </c>
      <c r="H140" s="6" t="inlineStr"/>
      <c r="I140" s="6" t="inlineStr">
        <is>
          <t>F&amp;B: aggiornare menu/matrice acquisti e documentare prodotti/opzioni/iniziativa sostenibile.</t>
        </is>
      </c>
      <c r="J140" s="6" t="inlineStr">
        <is>
          <t>NO</t>
        </is>
      </c>
      <c r="K140" s="6" t="inlineStr">
        <is>
          <t>DA VERIFICARE</t>
        </is>
      </c>
      <c r="L140" s="6" t="inlineStr"/>
      <c r="M140" s="6" t="inlineStr">
        <is>
          <t>Da definire in gap audit</t>
        </is>
      </c>
      <c r="N140" s="6" t="inlineStr"/>
    </row>
  </sheetData>
  <autoFilter ref="A1:N140"/>
  <conditionalFormatting sqref="K2:K140">
    <cfRule type="expression" priority="1" dxfId="0">
      <formula>K2="COMPLETATO"</formula>
    </cfRule>
    <cfRule type="expression" priority="2" dxfId="1">
      <formula>K2="CRITICO / NON CONFORME"</formula>
    </cfRule>
    <cfRule type="expression" priority="3" dxfId="2">
      <formula>K2="IN CORSO"</formula>
    </cfRule>
  </conditionalFormatting>
  <dataValidations count="2">
    <dataValidation sqref="K2:K140" showDropDown="0" showInputMessage="0" showErrorMessage="0" allowBlank="0" type="list">
      <formula1>"DA VERIFICARE,IN CORSO,COMPLETATO,CRITICO / NON CONFORME"</formula1>
    </dataValidation>
    <dataValidation sqref="J2:J140" showDropDown="0" showInputMessage="0" showErrorMessage="0" allowBlank="0" type="list">
      <formula1>"SI,NO,PARZIALE"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0"/>
  <sheetViews>
    <sheetView showGridLines="0" workbookViewId="0">
      <pane ySplit="1" topLeftCell="A2" activePane="bottomLeft" state="frozen"/>
      <selection pane="bottomLeft" activeCell="A1" sqref="A1"/>
    </sheetView>
  </sheetViews>
  <sheetFormatPr baseColWidth="8" defaultRowHeight="15"/>
  <cols>
    <col width="15" customWidth="1" min="1" max="1"/>
    <col width="12" customWidth="1" min="2" max="2"/>
    <col width="55" customWidth="1" min="3" max="3"/>
    <col width="32" customWidth="1" min="4" max="4"/>
    <col width="25" customWidth="1" min="5" max="5"/>
    <col width="20" customWidth="1" min="6" max="6"/>
    <col width="35" customWidth="1" min="7" max="7"/>
    <col width="20" customWidth="1" min="8" max="8"/>
    <col width="18" customWidth="1" min="9" max="9"/>
    <col width="18" customWidth="1" min="10" max="10"/>
    <col width="35" customWidth="1" min="11" max="11"/>
    <col width="35" customWidth="1" min="12" max="12"/>
  </cols>
  <sheetData>
    <row r="1">
      <c r="A1" s="4" t="inlineStr">
        <is>
          <t>ID evidenza</t>
        </is>
      </c>
      <c r="B1" s="4" t="inlineStr">
        <is>
          <t>Criterio</t>
        </is>
      </c>
      <c r="C1" s="4" t="inlineStr">
        <is>
          <t>Documento / evidenza</t>
        </is>
      </c>
      <c r="D1" s="4" t="inlineStr">
        <is>
          <t>Owner</t>
        </is>
      </c>
      <c r="E1" s="4" t="inlineStr">
        <is>
          <t>Reparto</t>
        </is>
      </c>
      <c r="F1" s="4" t="inlineStr">
        <is>
          <t>Frequenza</t>
        </is>
      </c>
      <c r="G1" s="4" t="inlineStr">
        <is>
          <t>Path Digital Binder</t>
        </is>
      </c>
      <c r="H1" s="4" t="inlineStr">
        <is>
          <t>Ultimo aggiornamento</t>
        </is>
      </c>
      <c r="I1" s="4" t="inlineStr">
        <is>
          <t>Scadenza</t>
        </is>
      </c>
      <c r="J1" s="4" t="inlineStr">
        <is>
          <t>Stato</t>
        </is>
      </c>
      <c r="K1" s="4" t="inlineStr">
        <is>
          <t>Link / riferimento</t>
        </is>
      </c>
      <c r="L1" s="4" t="inlineStr">
        <is>
          <t>Note</t>
        </is>
      </c>
    </row>
    <row r="2">
      <c r="A2" s="6" t="inlineStr">
        <is>
          <t>E-1.1</t>
        </is>
      </c>
      <c r="B2" s="6" t="inlineStr">
        <is>
          <t>1.1</t>
        </is>
      </c>
      <c r="C2" s="6" t="inlineStr">
        <is>
          <t>Da definire sulla base della sezione 'Evidenze per l'audit' del criterio</t>
        </is>
      </c>
      <c r="D2" s="6" t="inlineStr">
        <is>
          <t>Alessandra Ferrara – Operations / Maintenance</t>
        </is>
      </c>
      <c r="E2" s="6" t="inlineStr"/>
      <c r="F2" s="6" t="inlineStr">
        <is>
          <t>Secondo criterio</t>
        </is>
      </c>
      <c r="G2" s="6" t="inlineStr">
        <is>
          <t>/Gestione sostenibile/1.1</t>
        </is>
      </c>
      <c r="H2" s="6" t="inlineStr"/>
      <c r="I2" s="6" t="inlineStr"/>
      <c r="J2" s="6" t="inlineStr">
        <is>
          <t>DA VERIFICARE</t>
        </is>
      </c>
      <c r="K2" s="6" t="inlineStr"/>
      <c r="L2" s="6" t="inlineStr"/>
    </row>
    <row r="3">
      <c r="A3" s="6" t="inlineStr">
        <is>
          <t>E-1.2</t>
        </is>
      </c>
      <c r="B3" s="6" t="inlineStr">
        <is>
          <t>1.2</t>
        </is>
      </c>
      <c r="C3" s="6" t="inlineStr">
        <is>
          <t>Da definire sulla base della sezione 'Evidenze per l'audit' del criterio</t>
        </is>
      </c>
      <c r="D3" s="6" t="inlineStr">
        <is>
          <t>Alessandra Ferrara – Operations / Maintenance</t>
        </is>
      </c>
      <c r="E3" s="6" t="inlineStr"/>
      <c r="F3" s="6" t="inlineStr">
        <is>
          <t>Secondo criterio</t>
        </is>
      </c>
      <c r="G3" s="6" t="inlineStr">
        <is>
          <t>/Gestione sostenibile/1.2</t>
        </is>
      </c>
      <c r="H3" s="6" t="inlineStr"/>
      <c r="I3" s="6" t="inlineStr"/>
      <c r="J3" s="6" t="inlineStr">
        <is>
          <t>DA VERIFICARE</t>
        </is>
      </c>
      <c r="K3" s="6" t="inlineStr"/>
      <c r="L3" s="6" t="inlineStr"/>
    </row>
    <row r="4">
      <c r="A4" s="6" t="inlineStr">
        <is>
          <t>E-1.3</t>
        </is>
      </c>
      <c r="B4" s="6" t="inlineStr">
        <is>
          <t>1.3</t>
        </is>
      </c>
      <c r="C4" s="6" t="inlineStr">
        <is>
          <t>Da definire sulla base della sezione 'Evidenze per l'audit' del criterio</t>
        </is>
      </c>
      <c r="D4" s="6" t="inlineStr">
        <is>
          <t>Alessandra Ferrara – Operations / Maintenance</t>
        </is>
      </c>
      <c r="E4" s="6" t="inlineStr"/>
      <c r="F4" s="6" t="inlineStr">
        <is>
          <t>Secondo criterio</t>
        </is>
      </c>
      <c r="G4" s="6" t="inlineStr">
        <is>
          <t>/Gestione sostenibile/1.3</t>
        </is>
      </c>
      <c r="H4" s="6" t="inlineStr"/>
      <c r="I4" s="6" t="inlineStr"/>
      <c r="J4" s="6" t="inlineStr">
        <is>
          <t>DA VERIFICARE</t>
        </is>
      </c>
      <c r="K4" s="6" t="inlineStr"/>
      <c r="L4" s="6" t="inlineStr"/>
    </row>
    <row r="5">
      <c r="A5" s="6" t="inlineStr">
        <is>
          <t>E-1.4</t>
        </is>
      </c>
      <c r="B5" s="6" t="inlineStr">
        <is>
          <t>1.4</t>
        </is>
      </c>
      <c r="C5" s="6" t="inlineStr">
        <is>
          <t>Da definire sulla base della sezione 'Evidenze per l'audit' del criterio</t>
        </is>
      </c>
      <c r="D5" s="6" t="inlineStr">
        <is>
          <t>Rosita Paglialunga – HR</t>
        </is>
      </c>
      <c r="E5" s="6" t="inlineStr"/>
      <c r="F5" s="6" t="inlineStr">
        <is>
          <t>Secondo criterio</t>
        </is>
      </c>
      <c r="G5" s="6" t="inlineStr">
        <is>
          <t>/Gestione sostenibile/1.4</t>
        </is>
      </c>
      <c r="H5" s="6" t="inlineStr"/>
      <c r="I5" s="6" t="inlineStr"/>
      <c r="J5" s="6" t="inlineStr">
        <is>
          <t>DA VERIFICARE</t>
        </is>
      </c>
      <c r="K5" s="6" t="inlineStr"/>
      <c r="L5" s="6" t="inlineStr"/>
    </row>
    <row r="6">
      <c r="A6" s="6" t="inlineStr">
        <is>
          <t>E-1.5</t>
        </is>
      </c>
      <c r="B6" s="6" t="inlineStr">
        <is>
          <t>1.5</t>
        </is>
      </c>
      <c r="C6" s="6" t="inlineStr">
        <is>
          <t>Da definire sulla base della sezione 'Evidenze per l'audit' del criterio</t>
        </is>
      </c>
      <c r="D6" s="6" t="inlineStr">
        <is>
          <t>Rosita Paglialunga – HR</t>
        </is>
      </c>
      <c r="E6" s="6" t="inlineStr"/>
      <c r="F6" s="6" t="inlineStr">
        <is>
          <t>Secondo criterio</t>
        </is>
      </c>
      <c r="G6" s="6" t="inlineStr">
        <is>
          <t>/Gestione sostenibile/1.5</t>
        </is>
      </c>
      <c r="H6" s="6" t="inlineStr"/>
      <c r="I6" s="6" t="inlineStr"/>
      <c r="J6" s="6" t="inlineStr">
        <is>
          <t>DA VERIFICARE</t>
        </is>
      </c>
      <c r="K6" s="6" t="inlineStr"/>
      <c r="L6" s="6" t="inlineStr"/>
    </row>
    <row r="7">
      <c r="A7" s="6" t="inlineStr">
        <is>
          <t>E-1.6</t>
        </is>
      </c>
      <c r="B7" s="6" t="inlineStr">
        <is>
          <t>1.6</t>
        </is>
      </c>
      <c r="C7" s="6" t="inlineStr">
        <is>
          <t>Da definire sulla base della sezione 'Evidenze per l'audit' del criterio</t>
        </is>
      </c>
      <c r="D7" s="6" t="inlineStr">
        <is>
          <t>Rosita Paglialunga – HR</t>
        </is>
      </c>
      <c r="E7" s="6" t="inlineStr"/>
      <c r="F7" s="6" t="inlineStr">
        <is>
          <t>Secondo criterio</t>
        </is>
      </c>
      <c r="G7" s="6" t="inlineStr">
        <is>
          <t>/Gestione sostenibile/1.6</t>
        </is>
      </c>
      <c r="H7" s="6" t="inlineStr"/>
      <c r="I7" s="6" t="inlineStr"/>
      <c r="J7" s="6" t="inlineStr">
        <is>
          <t>DA VERIFICARE</t>
        </is>
      </c>
      <c r="K7" s="6" t="inlineStr"/>
      <c r="L7" s="6" t="inlineStr"/>
    </row>
    <row r="8">
      <c r="A8" s="6" t="inlineStr">
        <is>
          <t>E-1.7</t>
        </is>
      </c>
      <c r="B8" s="6" t="inlineStr">
        <is>
          <t>1.7</t>
        </is>
      </c>
      <c r="C8" s="6" t="inlineStr">
        <is>
          <t>Da definire sulla base della sezione 'Evidenze per l'audit' del criterio</t>
        </is>
      </c>
      <c r="D8" s="6" t="inlineStr">
        <is>
          <t>Rosita Paglialunga – HR</t>
        </is>
      </c>
      <c r="E8" s="6" t="inlineStr"/>
      <c r="F8" s="6" t="inlineStr">
        <is>
          <t>Secondo criterio</t>
        </is>
      </c>
      <c r="G8" s="6" t="inlineStr">
        <is>
          <t>/Gestione sostenibile/1.7</t>
        </is>
      </c>
      <c r="H8" s="6" t="inlineStr"/>
      <c r="I8" s="6" t="inlineStr"/>
      <c r="J8" s="6" t="inlineStr">
        <is>
          <t>DA VERIFICARE</t>
        </is>
      </c>
      <c r="K8" s="6" t="inlineStr"/>
      <c r="L8" s="6" t="inlineStr"/>
    </row>
    <row r="9">
      <c r="A9" s="6" t="inlineStr">
        <is>
          <t>E-1.8</t>
        </is>
      </c>
      <c r="B9" s="6" t="inlineStr">
        <is>
          <t>1.8</t>
        </is>
      </c>
      <c r="C9" s="6" t="inlineStr">
        <is>
          <t>Da definire sulla base della sezione 'Evidenze per l'audit' del criterio</t>
        </is>
      </c>
      <c r="D9" s="6" t="inlineStr">
        <is>
          <t>Rosita Paglialunga – HR</t>
        </is>
      </c>
      <c r="E9" s="6" t="inlineStr"/>
      <c r="F9" s="6" t="inlineStr">
        <is>
          <t>Secondo criterio</t>
        </is>
      </c>
      <c r="G9" s="6" t="inlineStr">
        <is>
          <t>/Gestione sostenibile/1.8</t>
        </is>
      </c>
      <c r="H9" s="6" t="inlineStr"/>
      <c r="I9" s="6" t="inlineStr"/>
      <c r="J9" s="6" t="inlineStr">
        <is>
          <t>DA VERIFICARE</t>
        </is>
      </c>
      <c r="K9" s="6" t="inlineStr"/>
      <c r="L9" s="6" t="inlineStr"/>
    </row>
    <row r="10">
      <c r="A10" s="6" t="inlineStr">
        <is>
          <t>E-1.9</t>
        </is>
      </c>
      <c r="B10" s="6" t="inlineStr">
        <is>
          <t>1.9</t>
        </is>
      </c>
      <c r="C10" s="6" t="inlineStr">
        <is>
          <t>Da definire sulla base della sezione 'Evidenze per l'audit' del criterio</t>
        </is>
      </c>
      <c r="D10" s="6" t="inlineStr">
        <is>
          <t>Rosita Paglialunga – HR</t>
        </is>
      </c>
      <c r="E10" s="6" t="inlineStr"/>
      <c r="F10" s="6" t="inlineStr">
        <is>
          <t>Secondo criterio</t>
        </is>
      </c>
      <c r="G10" s="6" t="inlineStr">
        <is>
          <t>/Gestione sostenibile/1.9</t>
        </is>
      </c>
      <c r="H10" s="6" t="inlineStr"/>
      <c r="I10" s="6" t="inlineStr"/>
      <c r="J10" s="6" t="inlineStr">
        <is>
          <t>DA VERIFICARE</t>
        </is>
      </c>
      <c r="K10" s="6" t="inlineStr"/>
      <c r="L10" s="6" t="inlineStr"/>
    </row>
    <row r="11">
      <c r="A11" s="6" t="inlineStr">
        <is>
          <t>E-1.10</t>
        </is>
      </c>
      <c r="B11" s="6" t="inlineStr">
        <is>
          <t>1.10</t>
        </is>
      </c>
      <c r="C11" s="6" t="inlineStr">
        <is>
          <t>Da definire sulla base della sezione 'Evidenze per l'audit' del criterio</t>
        </is>
      </c>
      <c r="D11" s="6" t="inlineStr">
        <is>
          <t>Rosita Paglialunga – HR</t>
        </is>
      </c>
      <c r="E11" s="6" t="inlineStr"/>
      <c r="F11" s="6" t="inlineStr">
        <is>
          <t>Secondo criterio</t>
        </is>
      </c>
      <c r="G11" s="6" t="inlineStr">
        <is>
          <t>/Gestione sostenibile/1.10</t>
        </is>
      </c>
      <c r="H11" s="6" t="inlineStr"/>
      <c r="I11" s="6" t="inlineStr"/>
      <c r="J11" s="6" t="inlineStr">
        <is>
          <t>DA VERIFICARE</t>
        </is>
      </c>
      <c r="K11" s="6" t="inlineStr"/>
      <c r="L11" s="6" t="inlineStr"/>
    </row>
    <row r="12">
      <c r="A12" s="6" t="inlineStr">
        <is>
          <t>E-1.11</t>
        </is>
      </c>
      <c r="B12" s="6" t="inlineStr">
        <is>
          <t>1.11</t>
        </is>
      </c>
      <c r="C12" s="6" t="inlineStr">
        <is>
          <t>Da definire sulla base della sezione 'Evidenze per l'audit' del criterio</t>
        </is>
      </c>
      <c r="D12" s="6" t="inlineStr">
        <is>
          <t>Rosita Paglialunga – HR</t>
        </is>
      </c>
      <c r="E12" s="6" t="inlineStr"/>
      <c r="F12" s="6" t="inlineStr">
        <is>
          <t>Secondo criterio</t>
        </is>
      </c>
      <c r="G12" s="6" t="inlineStr">
        <is>
          <t>/Gestione sostenibile/1.11</t>
        </is>
      </c>
      <c r="H12" s="6" t="inlineStr"/>
      <c r="I12" s="6" t="inlineStr"/>
      <c r="J12" s="6" t="inlineStr">
        <is>
          <t>DA VERIFICARE</t>
        </is>
      </c>
      <c r="K12" s="6" t="inlineStr"/>
      <c r="L12" s="6" t="inlineStr"/>
    </row>
    <row r="13">
      <c r="A13" s="6" t="inlineStr">
        <is>
          <t>E-1.12</t>
        </is>
      </c>
      <c r="B13" s="6" t="inlineStr">
        <is>
          <t>1.12</t>
        </is>
      </c>
      <c r="C13" s="6" t="inlineStr">
        <is>
          <t>Da definire sulla base della sezione 'Evidenze per l'audit' del criterio</t>
        </is>
      </c>
      <c r="D13" s="6" t="inlineStr">
        <is>
          <t>Jonathan Pezzino – Green Key</t>
        </is>
      </c>
      <c r="E13" s="6" t="inlineStr"/>
      <c r="F13" s="6" t="inlineStr">
        <is>
          <t>Secondo criterio</t>
        </is>
      </c>
      <c r="G13" s="6" t="inlineStr">
        <is>
          <t>/Gestione sostenibile/1.12</t>
        </is>
      </c>
      <c r="H13" s="6" t="inlineStr"/>
      <c r="I13" s="6" t="inlineStr"/>
      <c r="J13" s="6" t="inlineStr">
        <is>
          <t>DA VERIFICARE</t>
        </is>
      </c>
      <c r="K13" s="6" t="inlineStr"/>
      <c r="L13" s="6" t="inlineStr"/>
    </row>
    <row r="14">
      <c r="A14" s="6" t="inlineStr">
        <is>
          <t>E-1.13</t>
        </is>
      </c>
      <c r="B14" s="6" t="inlineStr">
        <is>
          <t>1.13</t>
        </is>
      </c>
      <c r="C14" s="6" t="inlineStr">
        <is>
          <t>Da definire sulla base della sezione 'Evidenze per l'audit' del criterio</t>
        </is>
      </c>
      <c r="D14" s="6" t="inlineStr">
        <is>
          <t>Rosita Paglialunga – HR</t>
        </is>
      </c>
      <c r="E14" s="6" t="inlineStr"/>
      <c r="F14" s="6" t="inlineStr">
        <is>
          <t>Secondo criterio</t>
        </is>
      </c>
      <c r="G14" s="6" t="inlineStr">
        <is>
          <t>/Gestione sostenibile/1.13</t>
        </is>
      </c>
      <c r="H14" s="6" t="inlineStr"/>
      <c r="I14" s="6" t="inlineStr"/>
      <c r="J14" s="6" t="inlineStr">
        <is>
          <t>DA VERIFICARE</t>
        </is>
      </c>
      <c r="K14" s="6" t="inlineStr"/>
      <c r="L14" s="6" t="inlineStr"/>
    </row>
    <row r="15">
      <c r="A15" s="6" t="inlineStr">
        <is>
          <t>E-1.14</t>
        </is>
      </c>
      <c r="B15" s="6" t="inlineStr">
        <is>
          <t>1.14</t>
        </is>
      </c>
      <c r="C15" s="6" t="inlineStr">
        <is>
          <t>Da definire sulla base della sezione 'Evidenze per l'audit' del criterio</t>
        </is>
      </c>
      <c r="D15" s="6" t="inlineStr">
        <is>
          <t>Rosita Paglialunga – HR</t>
        </is>
      </c>
      <c r="E15" s="6" t="inlineStr"/>
      <c r="F15" s="6" t="inlineStr">
        <is>
          <t>Secondo criterio</t>
        </is>
      </c>
      <c r="G15" s="6" t="inlineStr">
        <is>
          <t>/Gestione sostenibile/1.14</t>
        </is>
      </c>
      <c r="H15" s="6" t="inlineStr"/>
      <c r="I15" s="6" t="inlineStr"/>
      <c r="J15" s="6" t="inlineStr">
        <is>
          <t>DA VERIFICARE</t>
        </is>
      </c>
      <c r="K15" s="6" t="inlineStr"/>
      <c r="L15" s="6" t="inlineStr"/>
    </row>
    <row r="16">
      <c r="A16" s="6" t="inlineStr">
        <is>
          <t>E-1.15</t>
        </is>
      </c>
      <c r="B16" s="6" t="inlineStr">
        <is>
          <t>1.15</t>
        </is>
      </c>
      <c r="C16" s="6" t="inlineStr">
        <is>
          <t>Da definire sulla base della sezione 'Evidenze per l'audit' del criterio</t>
        </is>
      </c>
      <c r="D16" s="6" t="inlineStr">
        <is>
          <t>Rosita Paglialunga – HR</t>
        </is>
      </c>
      <c r="E16" s="6" t="inlineStr"/>
      <c r="F16" s="6" t="inlineStr">
        <is>
          <t>Secondo criterio</t>
        </is>
      </c>
      <c r="G16" s="6" t="inlineStr">
        <is>
          <t>/Gestione sostenibile/1.15</t>
        </is>
      </c>
      <c r="H16" s="6" t="inlineStr"/>
      <c r="I16" s="6" t="inlineStr"/>
      <c r="J16" s="6" t="inlineStr">
        <is>
          <t>DA VERIFICARE</t>
        </is>
      </c>
      <c r="K16" s="6" t="inlineStr"/>
      <c r="L16" s="6" t="inlineStr"/>
    </row>
    <row r="17">
      <c r="A17" s="6" t="inlineStr">
        <is>
          <t>E-1.16</t>
        </is>
      </c>
      <c r="B17" s="6" t="inlineStr">
        <is>
          <t>1.16</t>
        </is>
      </c>
      <c r="C17" s="6" t="inlineStr">
        <is>
          <t>Da definire sulla base della sezione 'Evidenze per l'audit' del criterio</t>
        </is>
      </c>
      <c r="D17" s="6" t="inlineStr">
        <is>
          <t>Rosita Paglialunga – HR</t>
        </is>
      </c>
      <c r="E17" s="6" t="inlineStr"/>
      <c r="F17" s="6" t="inlineStr">
        <is>
          <t>Secondo criterio</t>
        </is>
      </c>
      <c r="G17" s="6" t="inlineStr">
        <is>
          <t>/Gestione sostenibile/1.16</t>
        </is>
      </c>
      <c r="H17" s="6" t="inlineStr"/>
      <c r="I17" s="6" t="inlineStr"/>
      <c r="J17" s="6" t="inlineStr">
        <is>
          <t>DA VERIFICARE</t>
        </is>
      </c>
      <c r="K17" s="6" t="inlineStr"/>
      <c r="L17" s="6" t="inlineStr"/>
    </row>
    <row r="18">
      <c r="A18" s="6" t="inlineStr">
        <is>
          <t>E-1.17</t>
        </is>
      </c>
      <c r="B18" s="6" t="inlineStr">
        <is>
          <t>1.17</t>
        </is>
      </c>
      <c r="C18" s="6" t="inlineStr">
        <is>
          <t>Da definire sulla base della sezione 'Evidenze per l'audit' del criterio</t>
        </is>
      </c>
      <c r="D18" s="6" t="inlineStr">
        <is>
          <t>Rosita Paglialunga – HR</t>
        </is>
      </c>
      <c r="E18" s="6" t="inlineStr"/>
      <c r="F18" s="6" t="inlineStr">
        <is>
          <t>Secondo criterio</t>
        </is>
      </c>
      <c r="G18" s="6" t="inlineStr">
        <is>
          <t>/Gestione sostenibile/1.17</t>
        </is>
      </c>
      <c r="H18" s="6" t="inlineStr"/>
      <c r="I18" s="6" t="inlineStr"/>
      <c r="J18" s="6" t="inlineStr">
        <is>
          <t>DA VERIFICARE</t>
        </is>
      </c>
      <c r="K18" s="6" t="inlineStr"/>
      <c r="L18" s="6" t="inlineStr"/>
    </row>
    <row r="19">
      <c r="A19" s="6" t="inlineStr">
        <is>
          <t>E-1.18</t>
        </is>
      </c>
      <c r="B19" s="6" t="inlineStr">
        <is>
          <t>1.18</t>
        </is>
      </c>
      <c r="C19" s="6" t="inlineStr">
        <is>
          <t>Da definire sulla base della sezione 'Evidenze per l'audit' del criterio</t>
        </is>
      </c>
      <c r="D19" s="6" t="inlineStr">
        <is>
          <t>Rosita Paglialunga – HR</t>
        </is>
      </c>
      <c r="E19" s="6" t="inlineStr"/>
      <c r="F19" s="6" t="inlineStr">
        <is>
          <t>Secondo criterio</t>
        </is>
      </c>
      <c r="G19" s="6" t="inlineStr">
        <is>
          <t>/Gestione sostenibile/1.18</t>
        </is>
      </c>
      <c r="H19" s="6" t="inlineStr"/>
      <c r="I19" s="6" t="inlineStr"/>
      <c r="J19" s="6" t="inlineStr">
        <is>
          <t>DA VERIFICARE</t>
        </is>
      </c>
      <c r="K19" s="6" t="inlineStr"/>
      <c r="L19" s="6" t="inlineStr"/>
    </row>
    <row r="20">
      <c r="A20" s="6" t="inlineStr">
        <is>
          <t>E-1.19</t>
        </is>
      </c>
      <c r="B20" s="6" t="inlineStr">
        <is>
          <t>1.19</t>
        </is>
      </c>
      <c r="C20" s="6" t="inlineStr">
        <is>
          <t>Da definire sulla base della sezione 'Evidenze per l'audit' del criterio</t>
        </is>
      </c>
      <c r="D20" s="6" t="inlineStr">
        <is>
          <t>Rosita Paglialunga – HR</t>
        </is>
      </c>
      <c r="E20" s="6" t="inlineStr"/>
      <c r="F20" s="6" t="inlineStr">
        <is>
          <t>Secondo criterio</t>
        </is>
      </c>
      <c r="G20" s="6" t="inlineStr">
        <is>
          <t>/Gestione sostenibile/1.19</t>
        </is>
      </c>
      <c r="H20" s="6" t="inlineStr"/>
      <c r="I20" s="6" t="inlineStr"/>
      <c r="J20" s="6" t="inlineStr">
        <is>
          <t>DA VERIFICARE</t>
        </is>
      </c>
      <c r="K20" s="6" t="inlineStr"/>
      <c r="L20" s="6" t="inlineStr"/>
    </row>
    <row r="21">
      <c r="A21" s="6" t="inlineStr">
        <is>
          <t>E-1.20</t>
        </is>
      </c>
      <c r="B21" s="6" t="inlineStr">
        <is>
          <t>1.20</t>
        </is>
      </c>
      <c r="C21" s="6" t="inlineStr">
        <is>
          <t>Da definire sulla base della sezione 'Evidenze per l'audit' del criterio</t>
        </is>
      </c>
      <c r="D21" s="6" t="inlineStr">
        <is>
          <t>Alessandra Ferrara – Operations / Maintenance</t>
        </is>
      </c>
      <c r="E21" s="6" t="inlineStr"/>
      <c r="F21" s="6" t="inlineStr">
        <is>
          <t>Secondo criterio</t>
        </is>
      </c>
      <c r="G21" s="6" t="inlineStr">
        <is>
          <t>/Gestione sostenibile/1.20</t>
        </is>
      </c>
      <c r="H21" s="6" t="inlineStr"/>
      <c r="I21" s="6" t="inlineStr"/>
      <c r="J21" s="6" t="inlineStr">
        <is>
          <t>DA VERIFICARE</t>
        </is>
      </c>
      <c r="K21" s="6" t="inlineStr"/>
      <c r="L21" s="6" t="inlineStr"/>
    </row>
    <row r="22">
      <c r="A22" s="6" t="inlineStr">
        <is>
          <t>E-1.21</t>
        </is>
      </c>
      <c r="B22" s="6" t="inlineStr">
        <is>
          <t>1.21</t>
        </is>
      </c>
      <c r="C22" s="6" t="inlineStr">
        <is>
          <t>Da definire sulla base della sezione 'Evidenze per l'audit' del criterio</t>
        </is>
      </c>
      <c r="D22" s="6" t="inlineStr">
        <is>
          <t>Rosita Paglialunga – HR</t>
        </is>
      </c>
      <c r="E22" s="6" t="inlineStr"/>
      <c r="F22" s="6" t="inlineStr">
        <is>
          <t>Secondo criterio</t>
        </is>
      </c>
      <c r="G22" s="6" t="inlineStr">
        <is>
          <t>/Gestione sostenibile/1.21</t>
        </is>
      </c>
      <c r="H22" s="6" t="inlineStr"/>
      <c r="I22" s="6" t="inlineStr"/>
      <c r="J22" s="6" t="inlineStr">
        <is>
          <t>DA VERIFICARE</t>
        </is>
      </c>
      <c r="K22" s="6" t="inlineStr"/>
      <c r="L22" s="6" t="inlineStr"/>
    </row>
    <row r="23">
      <c r="A23" s="6" t="inlineStr">
        <is>
          <t>E-1.22</t>
        </is>
      </c>
      <c r="B23" s="6" t="inlineStr">
        <is>
          <t>1.22</t>
        </is>
      </c>
      <c r="C23" s="6" t="inlineStr">
        <is>
          <t>Da definire sulla base della sezione 'Evidenze per l'audit' del criterio</t>
        </is>
      </c>
      <c r="D23" s="6" t="inlineStr">
        <is>
          <t>Alessandra Ferrara – Operations / Maintenance</t>
        </is>
      </c>
      <c r="E23" s="6" t="inlineStr"/>
      <c r="F23" s="6" t="inlineStr">
        <is>
          <t>Secondo criterio</t>
        </is>
      </c>
      <c r="G23" s="6" t="inlineStr">
        <is>
          <t>/Gestione sostenibile/1.22</t>
        </is>
      </c>
      <c r="H23" s="6" t="inlineStr"/>
      <c r="I23" s="6" t="inlineStr"/>
      <c r="J23" s="6" t="inlineStr">
        <is>
          <t>DA VERIFICARE</t>
        </is>
      </c>
      <c r="K23" s="6" t="inlineStr"/>
      <c r="L23" s="6" t="inlineStr"/>
    </row>
    <row r="24">
      <c r="A24" s="6" t="inlineStr">
        <is>
          <t>E-1.23</t>
        </is>
      </c>
      <c r="B24" s="6" t="inlineStr">
        <is>
          <t>1.23</t>
        </is>
      </c>
      <c r="C24" s="6" t="inlineStr">
        <is>
          <t>Da definire sulla base della sezione 'Evidenze per l'audit' del criterio</t>
        </is>
      </c>
      <c r="D24" s="6" t="inlineStr">
        <is>
          <t>Rosita Paglialunga – HR</t>
        </is>
      </c>
      <c r="E24" s="6" t="inlineStr"/>
      <c r="F24" s="6" t="inlineStr">
        <is>
          <t>Secondo criterio</t>
        </is>
      </c>
      <c r="G24" s="6" t="inlineStr">
        <is>
          <t>/Gestione sostenibile/1.23</t>
        </is>
      </c>
      <c r="H24" s="6" t="inlineStr"/>
      <c r="I24" s="6" t="inlineStr"/>
      <c r="J24" s="6" t="inlineStr">
        <is>
          <t>DA VERIFICARE</t>
        </is>
      </c>
      <c r="K24" s="6" t="inlineStr"/>
      <c r="L24" s="6" t="inlineStr"/>
    </row>
    <row r="25">
      <c r="A25" s="6" t="inlineStr">
        <is>
          <t>E-1.24</t>
        </is>
      </c>
      <c r="B25" s="6" t="inlineStr">
        <is>
          <t>1.24</t>
        </is>
      </c>
      <c r="C25" s="6" t="inlineStr">
        <is>
          <t>Da definire sulla base della sezione 'Evidenze per l'audit' del criterio</t>
        </is>
      </c>
      <c r="D25" s="6" t="inlineStr">
        <is>
          <t>Rosita Paglialunga – HR</t>
        </is>
      </c>
      <c r="E25" s="6" t="inlineStr"/>
      <c r="F25" s="6" t="inlineStr">
        <is>
          <t>Secondo criterio</t>
        </is>
      </c>
      <c r="G25" s="6" t="inlineStr">
        <is>
          <t>/Gestione sostenibile/1.24</t>
        </is>
      </c>
      <c r="H25" s="6" t="inlineStr"/>
      <c r="I25" s="6" t="inlineStr"/>
      <c r="J25" s="6" t="inlineStr">
        <is>
          <t>DA VERIFICARE</t>
        </is>
      </c>
      <c r="K25" s="6" t="inlineStr"/>
      <c r="L25" s="6" t="inlineStr"/>
    </row>
    <row r="26">
      <c r="A26" s="6" t="inlineStr">
        <is>
          <t>E-2.1</t>
        </is>
      </c>
      <c r="B26" s="6" t="inlineStr">
        <is>
          <t>2.1</t>
        </is>
      </c>
      <c r="C26" s="6" t="inlineStr">
        <is>
          <t>Da definire sulla base della sezione 'Evidenze per l'audit' del criterio</t>
        </is>
      </c>
      <c r="D26" s="6" t="inlineStr">
        <is>
          <t>Alessandra Ferrara – Operations</t>
        </is>
      </c>
      <c r="E26" s="6" t="inlineStr"/>
      <c r="F26" s="6" t="inlineStr">
        <is>
          <t>Secondo criterio</t>
        </is>
      </c>
      <c r="G26" s="6" t="inlineStr">
        <is>
          <t>/Ospiti/2.1</t>
        </is>
      </c>
      <c r="H26" s="6" t="inlineStr"/>
      <c r="I26" s="6" t="inlineStr"/>
      <c r="J26" s="6" t="inlineStr">
        <is>
          <t>DA VERIFICARE</t>
        </is>
      </c>
      <c r="K26" s="6" t="inlineStr"/>
      <c r="L26" s="6" t="inlineStr"/>
    </row>
    <row r="27">
      <c r="A27" s="6" t="inlineStr">
        <is>
          <t>E-2.2</t>
        </is>
      </c>
      <c r="B27" s="6" t="inlineStr">
        <is>
          <t>2.2</t>
        </is>
      </c>
      <c r="C27" s="6" t="inlineStr">
        <is>
          <t>Da definire sulla base della sezione 'Evidenze per l'audit' del criterio</t>
        </is>
      </c>
      <c r="D27" s="6" t="inlineStr">
        <is>
          <t>Alessandra Ferrara – Operations</t>
        </is>
      </c>
      <c r="E27" s="6" t="inlineStr"/>
      <c r="F27" s="6" t="inlineStr">
        <is>
          <t>Secondo criterio</t>
        </is>
      </c>
      <c r="G27" s="6" t="inlineStr">
        <is>
          <t>/Ospiti/2.2</t>
        </is>
      </c>
      <c r="H27" s="6" t="inlineStr"/>
      <c r="I27" s="6" t="inlineStr"/>
      <c r="J27" s="6" t="inlineStr">
        <is>
          <t>DA VERIFICARE</t>
        </is>
      </c>
      <c r="K27" s="6" t="inlineStr"/>
      <c r="L27" s="6" t="inlineStr"/>
    </row>
    <row r="28">
      <c r="A28" s="6" t="inlineStr">
        <is>
          <t>E-2.3</t>
        </is>
      </c>
      <c r="B28" s="6" t="inlineStr">
        <is>
          <t>2.3</t>
        </is>
      </c>
      <c r="C28" s="6" t="inlineStr">
        <is>
          <t>Da definire sulla base della sezione 'Evidenze per l'audit' del criterio</t>
        </is>
      </c>
      <c r="D28" s="6" t="inlineStr">
        <is>
          <t>Alessandra Ferrara – Operations</t>
        </is>
      </c>
      <c r="E28" s="6" t="inlineStr"/>
      <c r="F28" s="6" t="inlineStr">
        <is>
          <t>Secondo criterio</t>
        </is>
      </c>
      <c r="G28" s="6" t="inlineStr">
        <is>
          <t>/Ospiti/2.3</t>
        </is>
      </c>
      <c r="H28" s="6" t="inlineStr"/>
      <c r="I28" s="6" t="inlineStr"/>
      <c r="J28" s="6" t="inlineStr">
        <is>
          <t>DA VERIFICARE</t>
        </is>
      </c>
      <c r="K28" s="6" t="inlineStr"/>
      <c r="L28" s="6" t="inlineStr"/>
    </row>
    <row r="29">
      <c r="A29" s="6" t="inlineStr">
        <is>
          <t>E-2.4</t>
        </is>
      </c>
      <c r="B29" s="6" t="inlineStr">
        <is>
          <t>2.4</t>
        </is>
      </c>
      <c r="C29" s="6" t="inlineStr">
        <is>
          <t>Da definire sulla base della sezione 'Evidenze per l'audit' del criterio</t>
        </is>
      </c>
      <c r="D29" s="6" t="inlineStr">
        <is>
          <t>Alessandra Ferrara – Operations</t>
        </is>
      </c>
      <c r="E29" s="6" t="inlineStr"/>
      <c r="F29" s="6" t="inlineStr">
        <is>
          <t>Secondo criterio</t>
        </is>
      </c>
      <c r="G29" s="6" t="inlineStr">
        <is>
          <t>/Ospiti/2.4</t>
        </is>
      </c>
      <c r="H29" s="6" t="inlineStr"/>
      <c r="I29" s="6" t="inlineStr"/>
      <c r="J29" s="6" t="inlineStr">
        <is>
          <t>DA VERIFICARE</t>
        </is>
      </c>
      <c r="K29" s="6" t="inlineStr"/>
      <c r="L29" s="6" t="inlineStr"/>
    </row>
    <row r="30">
      <c r="A30" s="6" t="inlineStr">
        <is>
          <t>E-2.5</t>
        </is>
      </c>
      <c r="B30" s="6" t="inlineStr">
        <is>
          <t>2.5</t>
        </is>
      </c>
      <c r="C30" s="6" t="inlineStr">
        <is>
          <t>Da definire sulla base della sezione 'Evidenze per l'audit' del criterio</t>
        </is>
      </c>
      <c r="D30" s="6" t="inlineStr">
        <is>
          <t>Alessandra Ferrara – Operations</t>
        </is>
      </c>
      <c r="E30" s="6" t="inlineStr"/>
      <c r="F30" s="6" t="inlineStr">
        <is>
          <t>Secondo criterio</t>
        </is>
      </c>
      <c r="G30" s="6" t="inlineStr">
        <is>
          <t>/Ospiti/2.5</t>
        </is>
      </c>
      <c r="H30" s="6" t="inlineStr"/>
      <c r="I30" s="6" t="inlineStr"/>
      <c r="J30" s="6" t="inlineStr">
        <is>
          <t>DA VERIFICARE</t>
        </is>
      </c>
      <c r="K30" s="6" t="inlineStr"/>
      <c r="L30" s="6" t="inlineStr"/>
    </row>
    <row r="31">
      <c r="A31" s="6" t="inlineStr">
        <is>
          <t>E-2.6</t>
        </is>
      </c>
      <c r="B31" s="6" t="inlineStr">
        <is>
          <t>2.6</t>
        </is>
      </c>
      <c r="C31" s="6" t="inlineStr">
        <is>
          <t>Da definire sulla base della sezione 'Evidenze per l'audit' del criterio</t>
        </is>
      </c>
      <c r="D31" s="6" t="inlineStr">
        <is>
          <t>Alessandra Ferrara – Operations</t>
        </is>
      </c>
      <c r="E31" s="6" t="inlineStr"/>
      <c r="F31" s="6" t="inlineStr">
        <is>
          <t>Secondo criterio</t>
        </is>
      </c>
      <c r="G31" s="6" t="inlineStr">
        <is>
          <t>/Ospiti/2.6</t>
        </is>
      </c>
      <c r="H31" s="6" t="inlineStr"/>
      <c r="I31" s="6" t="inlineStr"/>
      <c r="J31" s="6" t="inlineStr">
        <is>
          <t>DA VERIFICARE</t>
        </is>
      </c>
      <c r="K31" s="6" t="inlineStr"/>
      <c r="L31" s="6" t="inlineStr"/>
    </row>
    <row r="32">
      <c r="A32" s="6" t="inlineStr">
        <is>
          <t>E-2.7</t>
        </is>
      </c>
      <c r="B32" s="6" t="inlineStr">
        <is>
          <t>2.7</t>
        </is>
      </c>
      <c r="C32" s="6" t="inlineStr">
        <is>
          <t>Da definire sulla base della sezione 'Evidenze per l'audit' del criterio</t>
        </is>
      </c>
      <c r="D32" s="6" t="inlineStr">
        <is>
          <t>Alessandra Ferrara – Operations</t>
        </is>
      </c>
      <c r="E32" s="6" t="inlineStr"/>
      <c r="F32" s="6" t="inlineStr">
        <is>
          <t>Secondo criterio</t>
        </is>
      </c>
      <c r="G32" s="6" t="inlineStr">
        <is>
          <t>/Ospiti/2.7</t>
        </is>
      </c>
      <c r="H32" s="6" t="inlineStr"/>
      <c r="I32" s="6" t="inlineStr"/>
      <c r="J32" s="6" t="inlineStr">
        <is>
          <t>DA VERIFICARE</t>
        </is>
      </c>
      <c r="K32" s="6" t="inlineStr"/>
      <c r="L32" s="6" t="inlineStr"/>
    </row>
    <row r="33">
      <c r="A33" s="6" t="inlineStr">
        <is>
          <t>E-2.8</t>
        </is>
      </c>
      <c r="B33" s="6" t="inlineStr">
        <is>
          <t>2.8</t>
        </is>
      </c>
      <c r="C33" s="6" t="inlineStr">
        <is>
          <t>Da definire sulla base della sezione 'Evidenze per l'audit' del criterio</t>
        </is>
      </c>
      <c r="D33" s="6" t="inlineStr">
        <is>
          <t>Alessandra Ferrara – Operations</t>
        </is>
      </c>
      <c r="E33" s="6" t="inlineStr"/>
      <c r="F33" s="6" t="inlineStr">
        <is>
          <t>Secondo criterio</t>
        </is>
      </c>
      <c r="G33" s="6" t="inlineStr">
        <is>
          <t>/Ospiti/2.8</t>
        </is>
      </c>
      <c r="H33" s="6" t="inlineStr"/>
      <c r="I33" s="6" t="inlineStr"/>
      <c r="J33" s="6" t="inlineStr">
        <is>
          <t>DA VERIFICARE</t>
        </is>
      </c>
      <c r="K33" s="6" t="inlineStr"/>
      <c r="L33" s="6" t="inlineStr"/>
    </row>
    <row r="34">
      <c r="A34" s="6" t="inlineStr">
        <is>
          <t>E-2.9</t>
        </is>
      </c>
      <c r="B34" s="6" t="inlineStr">
        <is>
          <t>2.9</t>
        </is>
      </c>
      <c r="C34" s="6" t="inlineStr">
        <is>
          <t>Da definire sulla base della sezione 'Evidenze per l'audit' del criterio</t>
        </is>
      </c>
      <c r="D34" s="6" t="inlineStr">
        <is>
          <t>Alessandra Ferrara – Operations</t>
        </is>
      </c>
      <c r="E34" s="6" t="inlineStr"/>
      <c r="F34" s="6" t="inlineStr">
        <is>
          <t>Secondo criterio</t>
        </is>
      </c>
      <c r="G34" s="6" t="inlineStr">
        <is>
          <t>/Ospiti/2.9</t>
        </is>
      </c>
      <c r="H34" s="6" t="inlineStr"/>
      <c r="I34" s="6" t="inlineStr"/>
      <c r="J34" s="6" t="inlineStr">
        <is>
          <t>DA VERIFICARE</t>
        </is>
      </c>
      <c r="K34" s="6" t="inlineStr"/>
      <c r="L34" s="6" t="inlineStr"/>
    </row>
    <row r="35">
      <c r="A35" s="6" t="inlineStr">
        <is>
          <t>E-2.10</t>
        </is>
      </c>
      <c r="B35" s="6" t="inlineStr">
        <is>
          <t>2.10</t>
        </is>
      </c>
      <c r="C35" s="6" t="inlineStr">
        <is>
          <t>Da definire sulla base della sezione 'Evidenze per l'audit' del criterio</t>
        </is>
      </c>
      <c r="D35" s="6" t="inlineStr">
        <is>
          <t>Alessandra Ferrara – Operations</t>
        </is>
      </c>
      <c r="E35" s="6" t="inlineStr"/>
      <c r="F35" s="6" t="inlineStr">
        <is>
          <t>Secondo criterio</t>
        </is>
      </c>
      <c r="G35" s="6" t="inlineStr">
        <is>
          <t>/Ospiti/2.10</t>
        </is>
      </c>
      <c r="H35" s="6" t="inlineStr"/>
      <c r="I35" s="6" t="inlineStr"/>
      <c r="J35" s="6" t="inlineStr">
        <is>
          <t>DA VERIFICARE</t>
        </is>
      </c>
      <c r="K35" s="6" t="inlineStr"/>
      <c r="L35" s="6" t="inlineStr"/>
    </row>
    <row r="36">
      <c r="A36" s="6" t="inlineStr">
        <is>
          <t>E-2.11</t>
        </is>
      </c>
      <c r="B36" s="6" t="inlineStr">
        <is>
          <t>2.11</t>
        </is>
      </c>
      <c r="C36" s="6" t="inlineStr">
        <is>
          <t>Da definire sulla base della sezione 'Evidenze per l'audit' del criterio</t>
        </is>
      </c>
      <c r="D36" s="6" t="inlineStr">
        <is>
          <t>Alessandra Ferrara – Operations</t>
        </is>
      </c>
      <c r="E36" s="6" t="inlineStr"/>
      <c r="F36" s="6" t="inlineStr">
        <is>
          <t>Secondo criterio</t>
        </is>
      </c>
      <c r="G36" s="6" t="inlineStr">
        <is>
          <t>/Ospiti/2.11</t>
        </is>
      </c>
      <c r="H36" s="6" t="inlineStr"/>
      <c r="I36" s="6" t="inlineStr"/>
      <c r="J36" s="6" t="inlineStr">
        <is>
          <t>DA VERIFICARE</t>
        </is>
      </c>
      <c r="K36" s="6" t="inlineStr"/>
      <c r="L36" s="6" t="inlineStr"/>
    </row>
    <row r="37">
      <c r="A37" s="6" t="inlineStr">
        <is>
          <t>E-3.1</t>
        </is>
      </c>
      <c r="B37" s="6" t="inlineStr">
        <is>
          <t>3.1</t>
        </is>
      </c>
      <c r="C37" s="6" t="inlineStr">
        <is>
          <t>Da definire sulla base della sezione 'Evidenze per l'audit' del criterio</t>
        </is>
      </c>
      <c r="D37" s="6" t="inlineStr">
        <is>
          <t>Alessandra Ferrara – Operations / Maintenance</t>
        </is>
      </c>
      <c r="E37" s="6" t="inlineStr"/>
      <c r="F37" s="6" t="inlineStr">
        <is>
          <t>Secondo criterio</t>
        </is>
      </c>
      <c r="G37" s="6" t="inlineStr">
        <is>
          <t>/Acqua/3.1</t>
        </is>
      </c>
      <c r="H37" s="6" t="inlineStr"/>
      <c r="I37" s="6" t="inlineStr"/>
      <c r="J37" s="6" t="inlineStr">
        <is>
          <t>DA VERIFICARE</t>
        </is>
      </c>
      <c r="K37" s="6" t="inlineStr"/>
      <c r="L37" s="6" t="inlineStr"/>
    </row>
    <row r="38">
      <c r="A38" s="6" t="inlineStr">
        <is>
          <t>E-3.2</t>
        </is>
      </c>
      <c r="B38" s="6" t="inlineStr">
        <is>
          <t>3.2</t>
        </is>
      </c>
      <c r="C38" s="6" t="inlineStr">
        <is>
          <t>Da definire sulla base della sezione 'Evidenze per l'audit' del criterio</t>
        </is>
      </c>
      <c r="D38" s="6" t="inlineStr">
        <is>
          <t>Alessandra Ferrara – Operations / Maintenance</t>
        </is>
      </c>
      <c r="E38" s="6" t="inlineStr"/>
      <c r="F38" s="6" t="inlineStr">
        <is>
          <t>Secondo criterio</t>
        </is>
      </c>
      <c r="G38" s="6" t="inlineStr">
        <is>
          <t>/Acqua/3.2</t>
        </is>
      </c>
      <c r="H38" s="6" t="inlineStr"/>
      <c r="I38" s="6" t="inlineStr"/>
      <c r="J38" s="6" t="inlineStr">
        <is>
          <t>DA VERIFICARE</t>
        </is>
      </c>
      <c r="K38" s="6" t="inlineStr"/>
      <c r="L38" s="6" t="inlineStr"/>
    </row>
    <row r="39">
      <c r="A39" s="6" t="inlineStr">
        <is>
          <t>E-3.3</t>
        </is>
      </c>
      <c r="B39" s="6" t="inlineStr">
        <is>
          <t>3.3</t>
        </is>
      </c>
      <c r="C39" s="6" t="inlineStr">
        <is>
          <t>Da definire sulla base della sezione 'Evidenze per l'audit' del criterio</t>
        </is>
      </c>
      <c r="D39" s="6" t="inlineStr">
        <is>
          <t>Alessandra Ferrara – Operations / Maintenance</t>
        </is>
      </c>
      <c r="E39" s="6" t="inlineStr"/>
      <c r="F39" s="6" t="inlineStr">
        <is>
          <t>Secondo criterio</t>
        </is>
      </c>
      <c r="G39" s="6" t="inlineStr">
        <is>
          <t>/Acqua/3.3</t>
        </is>
      </c>
      <c r="H39" s="6" t="inlineStr"/>
      <c r="I39" s="6" t="inlineStr"/>
      <c r="J39" s="6" t="inlineStr">
        <is>
          <t>DA VERIFICARE</t>
        </is>
      </c>
      <c r="K39" s="6" t="inlineStr"/>
      <c r="L39" s="6" t="inlineStr"/>
    </row>
    <row r="40">
      <c r="A40" s="6" t="inlineStr">
        <is>
          <t>E-3.4</t>
        </is>
      </c>
      <c r="B40" s="6" t="inlineStr">
        <is>
          <t>3.4</t>
        </is>
      </c>
      <c r="C40" s="6" t="inlineStr">
        <is>
          <t>Da definire sulla base della sezione 'Evidenze per l'audit' del criterio</t>
        </is>
      </c>
      <c r="D40" s="6" t="inlineStr">
        <is>
          <t>Alessandra Ferrara – Operations / Maintenance</t>
        </is>
      </c>
      <c r="E40" s="6" t="inlineStr"/>
      <c r="F40" s="6" t="inlineStr">
        <is>
          <t>Secondo criterio</t>
        </is>
      </c>
      <c r="G40" s="6" t="inlineStr">
        <is>
          <t>/Acqua/3.4</t>
        </is>
      </c>
      <c r="H40" s="6" t="inlineStr"/>
      <c r="I40" s="6" t="inlineStr"/>
      <c r="J40" s="6" t="inlineStr">
        <is>
          <t>DA VERIFICARE</t>
        </is>
      </c>
      <c r="K40" s="6" t="inlineStr"/>
      <c r="L40" s="6" t="inlineStr"/>
    </row>
    <row r="41">
      <c r="A41" s="6" t="inlineStr">
        <is>
          <t>E-3.5</t>
        </is>
      </c>
      <c r="B41" s="6" t="inlineStr">
        <is>
          <t>3.5</t>
        </is>
      </c>
      <c r="C41" s="6" t="inlineStr">
        <is>
          <t>Da definire sulla base della sezione 'Evidenze per l'audit' del criterio</t>
        </is>
      </c>
      <c r="D41" s="6" t="inlineStr">
        <is>
          <t>Alessandra Ferrara – Operations / Maintenance</t>
        </is>
      </c>
      <c r="E41" s="6" t="inlineStr"/>
      <c r="F41" s="6" t="inlineStr">
        <is>
          <t>Secondo criterio</t>
        </is>
      </c>
      <c r="G41" s="6" t="inlineStr">
        <is>
          <t>/Acqua/3.5</t>
        </is>
      </c>
      <c r="H41" s="6" t="inlineStr"/>
      <c r="I41" s="6" t="inlineStr"/>
      <c r="J41" s="6" t="inlineStr">
        <is>
          <t>DA VERIFICARE</t>
        </is>
      </c>
      <c r="K41" s="6" t="inlineStr"/>
      <c r="L41" s="6" t="inlineStr"/>
    </row>
    <row r="42">
      <c r="A42" s="6" t="inlineStr">
        <is>
          <t>E-3.6</t>
        </is>
      </c>
      <c r="B42" s="6" t="inlineStr">
        <is>
          <t>3.6</t>
        </is>
      </c>
      <c r="C42" s="6" t="inlineStr">
        <is>
          <t>Da definire sulla base della sezione 'Evidenze per l'audit' del criterio</t>
        </is>
      </c>
      <c r="D42" s="6" t="inlineStr">
        <is>
          <t>Alessandra Ferrara – Operations / Maintenance</t>
        </is>
      </c>
      <c r="E42" s="6" t="inlineStr"/>
      <c r="F42" s="6" t="inlineStr">
        <is>
          <t>Secondo criterio</t>
        </is>
      </c>
      <c r="G42" s="6" t="inlineStr">
        <is>
          <t>/Acqua/3.6</t>
        </is>
      </c>
      <c r="H42" s="6" t="inlineStr"/>
      <c r="I42" s="6" t="inlineStr"/>
      <c r="J42" s="6" t="inlineStr">
        <is>
          <t>DA VERIFICARE</t>
        </is>
      </c>
      <c r="K42" s="6" t="inlineStr"/>
      <c r="L42" s="6" t="inlineStr"/>
    </row>
    <row r="43">
      <c r="A43" s="6" t="inlineStr">
        <is>
          <t>E-3.7</t>
        </is>
      </c>
      <c r="B43" s="6" t="inlineStr">
        <is>
          <t>3.7</t>
        </is>
      </c>
      <c r="C43" s="6" t="inlineStr">
        <is>
          <t>Da definire sulla base della sezione 'Evidenze per l'audit' del criterio</t>
        </is>
      </c>
      <c r="D43" s="6" t="inlineStr">
        <is>
          <t>Alessandra Ferrara – Operations / Maintenance</t>
        </is>
      </c>
      <c r="E43" s="6" t="inlineStr"/>
      <c r="F43" s="6" t="inlineStr">
        <is>
          <t>Secondo criterio</t>
        </is>
      </c>
      <c r="G43" s="6" t="inlineStr">
        <is>
          <t>/Acqua/3.7</t>
        </is>
      </c>
      <c r="H43" s="6" t="inlineStr"/>
      <c r="I43" s="6" t="inlineStr"/>
      <c r="J43" s="6" t="inlineStr">
        <is>
          <t>DA VERIFICARE</t>
        </is>
      </c>
      <c r="K43" s="6" t="inlineStr"/>
      <c r="L43" s="6" t="inlineStr"/>
    </row>
    <row r="44">
      <c r="A44" s="6" t="inlineStr">
        <is>
          <t>E-3.8</t>
        </is>
      </c>
      <c r="B44" s="6" t="inlineStr">
        <is>
          <t>3.8</t>
        </is>
      </c>
      <c r="C44" s="6" t="inlineStr">
        <is>
          <t>Da definire sulla base della sezione 'Evidenze per l'audit' del criterio</t>
        </is>
      </c>
      <c r="D44" s="6" t="inlineStr">
        <is>
          <t>Alessandra Ferrara – Operations / Maintenance</t>
        </is>
      </c>
      <c r="E44" s="6" t="inlineStr"/>
      <c r="F44" s="6" t="inlineStr">
        <is>
          <t>Secondo criterio</t>
        </is>
      </c>
      <c r="G44" s="6" t="inlineStr">
        <is>
          <t>/Acqua/3.8</t>
        </is>
      </c>
      <c r="H44" s="6" t="inlineStr"/>
      <c r="I44" s="6" t="inlineStr"/>
      <c r="J44" s="6" t="inlineStr">
        <is>
          <t>DA VERIFICARE</t>
        </is>
      </c>
      <c r="K44" s="6" t="inlineStr"/>
      <c r="L44" s="6" t="inlineStr"/>
    </row>
    <row r="45">
      <c r="A45" s="6" t="inlineStr">
        <is>
          <t>E-3.9</t>
        </is>
      </c>
      <c r="B45" s="6" t="inlineStr">
        <is>
          <t>3.9</t>
        </is>
      </c>
      <c r="C45" s="6" t="inlineStr">
        <is>
          <t>Da definire sulla base della sezione 'Evidenze per l'audit' del criterio</t>
        </is>
      </c>
      <c r="D45" s="6" t="inlineStr">
        <is>
          <t>Alessandra Ferrara – Operations / Maintenance</t>
        </is>
      </c>
      <c r="E45" s="6" t="inlineStr"/>
      <c r="F45" s="6" t="inlineStr">
        <is>
          <t>Secondo criterio</t>
        </is>
      </c>
      <c r="G45" s="6" t="inlineStr">
        <is>
          <t>/Acqua/3.9</t>
        </is>
      </c>
      <c r="H45" s="6" t="inlineStr"/>
      <c r="I45" s="6" t="inlineStr"/>
      <c r="J45" s="6" t="inlineStr">
        <is>
          <t>DA VERIFICARE</t>
        </is>
      </c>
      <c r="K45" s="6" t="inlineStr"/>
      <c r="L45" s="6" t="inlineStr"/>
    </row>
    <row r="46">
      <c r="A46" s="6" t="inlineStr">
        <is>
          <t>E-3.10</t>
        </is>
      </c>
      <c r="B46" s="6" t="inlineStr">
        <is>
          <t>3.10</t>
        </is>
      </c>
      <c r="C46" s="6" t="inlineStr">
        <is>
          <t>Da definire sulla base della sezione 'Evidenze per l'audit' del criterio</t>
        </is>
      </c>
      <c r="D46" s="6" t="inlineStr">
        <is>
          <t>Alessandra Ferrara – Operations / Maintenance</t>
        </is>
      </c>
      <c r="E46" s="6" t="inlineStr"/>
      <c r="F46" s="6" t="inlineStr">
        <is>
          <t>Secondo criterio</t>
        </is>
      </c>
      <c r="G46" s="6" t="inlineStr">
        <is>
          <t>/Acqua/3.10</t>
        </is>
      </c>
      <c r="H46" s="6" t="inlineStr"/>
      <c r="I46" s="6" t="inlineStr"/>
      <c r="J46" s="6" t="inlineStr">
        <is>
          <t>DA VERIFICARE</t>
        </is>
      </c>
      <c r="K46" s="6" t="inlineStr"/>
      <c r="L46" s="6" t="inlineStr"/>
    </row>
    <row r="47">
      <c r="A47" s="6" t="inlineStr">
        <is>
          <t>E-3.11</t>
        </is>
      </c>
      <c r="B47" s="6" t="inlineStr">
        <is>
          <t>3.11</t>
        </is>
      </c>
      <c r="C47" s="6" t="inlineStr">
        <is>
          <t>Da definire sulla base della sezione 'Evidenze per l'audit' del criterio</t>
        </is>
      </c>
      <c r="D47" s="6" t="inlineStr">
        <is>
          <t>Alessandra Ferrara – Operations / Maintenance</t>
        </is>
      </c>
      <c r="E47" s="6" t="inlineStr"/>
      <c r="F47" s="6" t="inlineStr">
        <is>
          <t>Secondo criterio</t>
        </is>
      </c>
      <c r="G47" s="6" t="inlineStr">
        <is>
          <t>/Acqua/3.11</t>
        </is>
      </c>
      <c r="H47" s="6" t="inlineStr"/>
      <c r="I47" s="6" t="inlineStr"/>
      <c r="J47" s="6" t="inlineStr">
        <is>
          <t>DA VERIFICARE</t>
        </is>
      </c>
      <c r="K47" s="6" t="inlineStr"/>
      <c r="L47" s="6" t="inlineStr"/>
    </row>
    <row r="48">
      <c r="A48" s="6" t="inlineStr">
        <is>
          <t>E-3.12</t>
        </is>
      </c>
      <c r="B48" s="6" t="inlineStr">
        <is>
          <t>3.12</t>
        </is>
      </c>
      <c r="C48" s="6" t="inlineStr">
        <is>
          <t>Da definire sulla base della sezione 'Evidenze per l'audit' del criterio</t>
        </is>
      </c>
      <c r="D48" s="6" t="inlineStr">
        <is>
          <t>Alessandra Ferrara – Operations / Maintenance</t>
        </is>
      </c>
      <c r="E48" s="6" t="inlineStr"/>
      <c r="F48" s="6" t="inlineStr">
        <is>
          <t>Secondo criterio</t>
        </is>
      </c>
      <c r="G48" s="6" t="inlineStr">
        <is>
          <t>/Acqua/3.12</t>
        </is>
      </c>
      <c r="H48" s="6" t="inlineStr"/>
      <c r="I48" s="6" t="inlineStr"/>
      <c r="J48" s="6" t="inlineStr">
        <is>
          <t>DA VERIFICARE</t>
        </is>
      </c>
      <c r="K48" s="6" t="inlineStr"/>
      <c r="L48" s="6" t="inlineStr"/>
    </row>
    <row r="49">
      <c r="A49" s="6" t="inlineStr">
        <is>
          <t>E-3.13</t>
        </is>
      </c>
      <c r="B49" s="6" t="inlineStr">
        <is>
          <t>3.13</t>
        </is>
      </c>
      <c r="C49" s="6" t="inlineStr">
        <is>
          <t>Da definire sulla base della sezione 'Evidenze per l'audit' del criterio</t>
        </is>
      </c>
      <c r="D49" s="6" t="inlineStr">
        <is>
          <t>Alessandra Ferrara – Operations / Maintenance</t>
        </is>
      </c>
      <c r="E49" s="6" t="inlineStr"/>
      <c r="F49" s="6" t="inlineStr">
        <is>
          <t>Secondo criterio</t>
        </is>
      </c>
      <c r="G49" s="6" t="inlineStr">
        <is>
          <t>/Acqua/3.13</t>
        </is>
      </c>
      <c r="H49" s="6" t="inlineStr"/>
      <c r="I49" s="6" t="inlineStr"/>
      <c r="J49" s="6" t="inlineStr">
        <is>
          <t>DA VERIFICARE</t>
        </is>
      </c>
      <c r="K49" s="6" t="inlineStr"/>
      <c r="L49" s="6" t="inlineStr"/>
    </row>
    <row r="50">
      <c r="A50" s="6" t="inlineStr">
        <is>
          <t>E-3.14</t>
        </is>
      </c>
      <c r="B50" s="6" t="inlineStr">
        <is>
          <t>3.14</t>
        </is>
      </c>
      <c r="C50" s="6" t="inlineStr">
        <is>
          <t>Da definire sulla base della sezione 'Evidenze per l'audit' del criterio</t>
        </is>
      </c>
      <c r="D50" s="6" t="inlineStr">
        <is>
          <t>Alessandra Ferrara – Operations / Maintenance</t>
        </is>
      </c>
      <c r="E50" s="6" t="inlineStr"/>
      <c r="F50" s="6" t="inlineStr">
        <is>
          <t>Secondo criterio</t>
        </is>
      </c>
      <c r="G50" s="6" t="inlineStr">
        <is>
          <t>/Acqua/3.14</t>
        </is>
      </c>
      <c r="H50" s="6" t="inlineStr"/>
      <c r="I50" s="6" t="inlineStr"/>
      <c r="J50" s="6" t="inlineStr">
        <is>
          <t>DA VERIFICARE</t>
        </is>
      </c>
      <c r="K50" s="6" t="inlineStr"/>
      <c r="L50" s="6" t="inlineStr"/>
    </row>
    <row r="51">
      <c r="A51" s="6" t="inlineStr">
        <is>
          <t>E-3.15</t>
        </is>
      </c>
      <c r="B51" s="6" t="inlineStr">
        <is>
          <t>3.15</t>
        </is>
      </c>
      <c r="C51" s="6" t="inlineStr">
        <is>
          <t>Da definire sulla base della sezione 'Evidenze per l'audit' del criterio</t>
        </is>
      </c>
      <c r="D51" s="6" t="inlineStr">
        <is>
          <t>Alessandra Ferrara – Operations / Maintenance</t>
        </is>
      </c>
      <c r="E51" s="6" t="inlineStr"/>
      <c r="F51" s="6" t="inlineStr">
        <is>
          <t>Secondo criterio</t>
        </is>
      </c>
      <c r="G51" s="6" t="inlineStr">
        <is>
          <t>/Acqua/3.15</t>
        </is>
      </c>
      <c r="H51" s="6" t="inlineStr"/>
      <c r="I51" s="6" t="inlineStr"/>
      <c r="J51" s="6" t="inlineStr">
        <is>
          <t>DA VERIFICARE</t>
        </is>
      </c>
      <c r="K51" s="6" t="inlineStr"/>
      <c r="L51" s="6" t="inlineStr"/>
    </row>
    <row r="52">
      <c r="A52" s="6" t="inlineStr">
        <is>
          <t>E-3.16</t>
        </is>
      </c>
      <c r="B52" s="6" t="inlineStr">
        <is>
          <t>3.16</t>
        </is>
      </c>
      <c r="C52" s="6" t="inlineStr">
        <is>
          <t>Da definire sulla base della sezione 'Evidenze per l'audit' del criterio</t>
        </is>
      </c>
      <c r="D52" s="6" t="inlineStr">
        <is>
          <t>Alessandra Ferrara – Operations / Maintenance</t>
        </is>
      </c>
      <c r="E52" s="6" t="inlineStr"/>
      <c r="F52" s="6" t="inlineStr">
        <is>
          <t>Secondo criterio</t>
        </is>
      </c>
      <c r="G52" s="6" t="inlineStr">
        <is>
          <t>/Acqua/3.16</t>
        </is>
      </c>
      <c r="H52" s="6" t="inlineStr"/>
      <c r="I52" s="6" t="inlineStr"/>
      <c r="J52" s="6" t="inlineStr">
        <is>
          <t>DA VERIFICARE</t>
        </is>
      </c>
      <c r="K52" s="6" t="inlineStr"/>
      <c r="L52" s="6" t="inlineStr"/>
    </row>
    <row r="53">
      <c r="A53" s="6" t="inlineStr">
        <is>
          <t>E-3.17</t>
        </is>
      </c>
      <c r="B53" s="6" t="inlineStr">
        <is>
          <t>3.17</t>
        </is>
      </c>
      <c r="C53" s="6" t="inlineStr">
        <is>
          <t>Da definire sulla base della sezione 'Evidenze per l'audit' del criterio</t>
        </is>
      </c>
      <c r="D53" s="6" t="inlineStr">
        <is>
          <t>Alessandra Ferrara – Operations / Maintenance</t>
        </is>
      </c>
      <c r="E53" s="6" t="inlineStr"/>
      <c r="F53" s="6" t="inlineStr">
        <is>
          <t>Secondo criterio</t>
        </is>
      </c>
      <c r="G53" s="6" t="inlineStr">
        <is>
          <t>/Acqua/3.17</t>
        </is>
      </c>
      <c r="H53" s="6" t="inlineStr"/>
      <c r="I53" s="6" t="inlineStr"/>
      <c r="J53" s="6" t="inlineStr">
        <is>
          <t>DA VERIFICARE</t>
        </is>
      </c>
      <c r="K53" s="6" t="inlineStr"/>
      <c r="L53" s="6" t="inlineStr"/>
    </row>
    <row r="54">
      <c r="A54" s="6" t="inlineStr">
        <is>
          <t>E-4.1</t>
        </is>
      </c>
      <c r="B54" s="6" t="inlineStr">
        <is>
          <t>4.1</t>
        </is>
      </c>
      <c r="C54" s="6" t="inlineStr">
        <is>
          <t>Da definire sulla base della sezione 'Evidenze per l'audit' del criterio</t>
        </is>
      </c>
      <c r="D54" s="6" t="inlineStr">
        <is>
          <t>Alessandra Ferrara – Operations / Maintenance</t>
        </is>
      </c>
      <c r="E54" s="6" t="inlineStr"/>
      <c r="F54" s="6" t="inlineStr">
        <is>
          <t>Secondo criterio</t>
        </is>
      </c>
      <c r="G54" s="6" t="inlineStr">
        <is>
          <t>/Energia/4.1</t>
        </is>
      </c>
      <c r="H54" s="6" t="inlineStr"/>
      <c r="I54" s="6" t="inlineStr"/>
      <c r="J54" s="6" t="inlineStr">
        <is>
          <t>DA VERIFICARE</t>
        </is>
      </c>
      <c r="K54" s="6" t="inlineStr"/>
      <c r="L54" s="6" t="inlineStr"/>
    </row>
    <row r="55">
      <c r="A55" s="6" t="inlineStr">
        <is>
          <t>E-4.2</t>
        </is>
      </c>
      <c r="B55" s="6" t="inlineStr">
        <is>
          <t>4.2</t>
        </is>
      </c>
      <c r="C55" s="6" t="inlineStr">
        <is>
          <t>Da definire sulla base della sezione 'Evidenze per l'audit' del criterio</t>
        </is>
      </c>
      <c r="D55" s="6" t="inlineStr">
        <is>
          <t>Alessandra Ferrara – Operations / Maintenance</t>
        </is>
      </c>
      <c r="E55" s="6" t="inlineStr"/>
      <c r="F55" s="6" t="inlineStr">
        <is>
          <t>Secondo criterio</t>
        </is>
      </c>
      <c r="G55" s="6" t="inlineStr">
        <is>
          <t>/Energia/4.2</t>
        </is>
      </c>
      <c r="H55" s="6" t="inlineStr"/>
      <c r="I55" s="6" t="inlineStr"/>
      <c r="J55" s="6" t="inlineStr">
        <is>
          <t>DA VERIFICARE</t>
        </is>
      </c>
      <c r="K55" s="6" t="inlineStr"/>
      <c r="L55" s="6" t="inlineStr"/>
    </row>
    <row r="56">
      <c r="A56" s="6" t="inlineStr">
        <is>
          <t>E-4.3</t>
        </is>
      </c>
      <c r="B56" s="6" t="inlineStr">
        <is>
          <t>4.3</t>
        </is>
      </c>
      <c r="C56" s="6" t="inlineStr">
        <is>
          <t>Da definire sulla base della sezione 'Evidenze per l'audit' del criterio</t>
        </is>
      </c>
      <c r="D56" s="6" t="inlineStr">
        <is>
          <t>Alessandra Ferrara – Operations / Maintenance</t>
        </is>
      </c>
      <c r="E56" s="6" t="inlineStr"/>
      <c r="F56" s="6" t="inlineStr">
        <is>
          <t>Secondo criterio</t>
        </is>
      </c>
      <c r="G56" s="6" t="inlineStr">
        <is>
          <t>/Energia/4.3</t>
        </is>
      </c>
      <c r="H56" s="6" t="inlineStr"/>
      <c r="I56" s="6" t="inlineStr"/>
      <c r="J56" s="6" t="inlineStr">
        <is>
          <t>DA VERIFICARE</t>
        </is>
      </c>
      <c r="K56" s="6" t="inlineStr"/>
      <c r="L56" s="6" t="inlineStr"/>
    </row>
    <row r="57">
      <c r="A57" s="6" t="inlineStr">
        <is>
          <t>E-4.4</t>
        </is>
      </c>
      <c r="B57" s="6" t="inlineStr">
        <is>
          <t>4.4</t>
        </is>
      </c>
      <c r="C57" s="6" t="inlineStr">
        <is>
          <t>Da definire sulla base della sezione 'Evidenze per l'audit' del criterio</t>
        </is>
      </c>
      <c r="D57" s="6" t="inlineStr">
        <is>
          <t>Alessandra Ferrara – Operations / Maintenance</t>
        </is>
      </c>
      <c r="E57" s="6" t="inlineStr"/>
      <c r="F57" s="6" t="inlineStr">
        <is>
          <t>Secondo criterio</t>
        </is>
      </c>
      <c r="G57" s="6" t="inlineStr">
        <is>
          <t>/Energia/4.4</t>
        </is>
      </c>
      <c r="H57" s="6" t="inlineStr"/>
      <c r="I57" s="6" t="inlineStr"/>
      <c r="J57" s="6" t="inlineStr">
        <is>
          <t>DA VERIFICARE</t>
        </is>
      </c>
      <c r="K57" s="6" t="inlineStr"/>
      <c r="L57" s="6" t="inlineStr"/>
    </row>
    <row r="58">
      <c r="A58" s="6" t="inlineStr">
        <is>
          <t>E-4.5</t>
        </is>
      </c>
      <c r="B58" s="6" t="inlineStr">
        <is>
          <t>4.5</t>
        </is>
      </c>
      <c r="C58" s="6" t="inlineStr">
        <is>
          <t>Da definire sulla base della sezione 'Evidenze per l'audit' del criterio</t>
        </is>
      </c>
      <c r="D58" s="6" t="inlineStr">
        <is>
          <t>Alessandra Ferrara – Operations / Maintenance</t>
        </is>
      </c>
      <c r="E58" s="6" t="inlineStr"/>
      <c r="F58" s="6" t="inlineStr">
        <is>
          <t>Secondo criterio</t>
        </is>
      </c>
      <c r="G58" s="6" t="inlineStr">
        <is>
          <t>/Energia/4.5</t>
        </is>
      </c>
      <c r="H58" s="6" t="inlineStr"/>
      <c r="I58" s="6" t="inlineStr"/>
      <c r="J58" s="6" t="inlineStr">
        <is>
          <t>DA VERIFICARE</t>
        </is>
      </c>
      <c r="K58" s="6" t="inlineStr"/>
      <c r="L58" s="6" t="inlineStr"/>
    </row>
    <row r="59">
      <c r="A59" s="6" t="inlineStr">
        <is>
          <t>E-4.6</t>
        </is>
      </c>
      <c r="B59" s="6" t="inlineStr">
        <is>
          <t>4.6</t>
        </is>
      </c>
      <c r="C59" s="6" t="inlineStr">
        <is>
          <t>Da definire sulla base della sezione 'Evidenze per l'audit' del criterio</t>
        </is>
      </c>
      <c r="D59" s="6" t="inlineStr">
        <is>
          <t>Alessandra Ferrara – Operations / Maintenance</t>
        </is>
      </c>
      <c r="E59" s="6" t="inlineStr"/>
      <c r="F59" s="6" t="inlineStr">
        <is>
          <t>Secondo criterio</t>
        </is>
      </c>
      <c r="G59" s="6" t="inlineStr">
        <is>
          <t>/Energia/4.6</t>
        </is>
      </c>
      <c r="H59" s="6" t="inlineStr"/>
      <c r="I59" s="6" t="inlineStr"/>
      <c r="J59" s="6" t="inlineStr">
        <is>
          <t>DA VERIFICARE</t>
        </is>
      </c>
      <c r="K59" s="6" t="inlineStr"/>
      <c r="L59" s="6" t="inlineStr"/>
    </row>
    <row r="60">
      <c r="A60" s="6" t="inlineStr">
        <is>
          <t>E-4.7</t>
        </is>
      </c>
      <c r="B60" s="6" t="inlineStr">
        <is>
          <t>4.7</t>
        </is>
      </c>
      <c r="C60" s="6" t="inlineStr">
        <is>
          <t>Da definire sulla base della sezione 'Evidenze per l'audit' del criterio</t>
        </is>
      </c>
      <c r="D60" s="6" t="inlineStr">
        <is>
          <t>Alessandra Ferrara – Operations / Maintenance</t>
        </is>
      </c>
      <c r="E60" s="6" t="inlineStr"/>
      <c r="F60" s="6" t="inlineStr">
        <is>
          <t>Secondo criterio</t>
        </is>
      </c>
      <c r="G60" s="6" t="inlineStr">
        <is>
          <t>/Energia/4.7</t>
        </is>
      </c>
      <c r="H60" s="6" t="inlineStr"/>
      <c r="I60" s="6" t="inlineStr"/>
      <c r="J60" s="6" t="inlineStr">
        <is>
          <t>DA VERIFICARE</t>
        </is>
      </c>
      <c r="K60" s="6" t="inlineStr"/>
      <c r="L60" s="6" t="inlineStr"/>
    </row>
    <row r="61">
      <c r="A61" s="6" t="inlineStr">
        <is>
          <t>E-4.8</t>
        </is>
      </c>
      <c r="B61" s="6" t="inlineStr">
        <is>
          <t>4.8</t>
        </is>
      </c>
      <c r="C61" s="6" t="inlineStr">
        <is>
          <t>Da definire sulla base della sezione 'Evidenze per l'audit' del criterio</t>
        </is>
      </c>
      <c r="D61" s="6" t="inlineStr">
        <is>
          <t>Alessandra Ferrara – Operations / Maintenance</t>
        </is>
      </c>
      <c r="E61" s="6" t="inlineStr"/>
      <c r="F61" s="6" t="inlineStr">
        <is>
          <t>Secondo criterio</t>
        </is>
      </c>
      <c r="G61" s="6" t="inlineStr">
        <is>
          <t>/Energia/4.8</t>
        </is>
      </c>
      <c r="H61" s="6" t="inlineStr"/>
      <c r="I61" s="6" t="inlineStr"/>
      <c r="J61" s="6" t="inlineStr">
        <is>
          <t>DA VERIFICARE</t>
        </is>
      </c>
      <c r="K61" s="6" t="inlineStr"/>
      <c r="L61" s="6" t="inlineStr"/>
    </row>
    <row r="62">
      <c r="A62" s="6" t="inlineStr">
        <is>
          <t>E-4.9</t>
        </is>
      </c>
      <c r="B62" s="6" t="inlineStr">
        <is>
          <t>4.9</t>
        </is>
      </c>
      <c r="C62" s="6" t="inlineStr">
        <is>
          <t>Da definire sulla base della sezione 'Evidenze per l'audit' del criterio</t>
        </is>
      </c>
      <c r="D62" s="6" t="inlineStr">
        <is>
          <t>Alessandra Ferrara – Operations / Maintenance</t>
        </is>
      </c>
      <c r="E62" s="6" t="inlineStr"/>
      <c r="F62" s="6" t="inlineStr">
        <is>
          <t>Secondo criterio</t>
        </is>
      </c>
      <c r="G62" s="6" t="inlineStr">
        <is>
          <t>/Energia/4.9</t>
        </is>
      </c>
      <c r="H62" s="6" t="inlineStr"/>
      <c r="I62" s="6" t="inlineStr"/>
      <c r="J62" s="6" t="inlineStr">
        <is>
          <t>DA VERIFICARE</t>
        </is>
      </c>
      <c r="K62" s="6" t="inlineStr"/>
      <c r="L62" s="6" t="inlineStr"/>
    </row>
    <row r="63">
      <c r="A63" s="6" t="inlineStr">
        <is>
          <t>E-4.10</t>
        </is>
      </c>
      <c r="B63" s="6" t="inlineStr">
        <is>
          <t>4.10</t>
        </is>
      </c>
      <c r="C63" s="6" t="inlineStr">
        <is>
          <t>Da definire sulla base della sezione 'Evidenze per l'audit' del criterio</t>
        </is>
      </c>
      <c r="D63" s="6" t="inlineStr">
        <is>
          <t>Alessandra Ferrara – Operations / Maintenance</t>
        </is>
      </c>
      <c r="E63" s="6" t="inlineStr"/>
      <c r="F63" s="6" t="inlineStr">
        <is>
          <t>Secondo criterio</t>
        </is>
      </c>
      <c r="G63" s="6" t="inlineStr">
        <is>
          <t>/Energia/4.10</t>
        </is>
      </c>
      <c r="H63" s="6" t="inlineStr"/>
      <c r="I63" s="6" t="inlineStr"/>
      <c r="J63" s="6" t="inlineStr">
        <is>
          <t>DA VERIFICARE</t>
        </is>
      </c>
      <c r="K63" s="6" t="inlineStr"/>
      <c r="L63" s="6" t="inlineStr"/>
    </row>
    <row r="64">
      <c r="A64" s="6" t="inlineStr">
        <is>
          <t>E-4.11</t>
        </is>
      </c>
      <c r="B64" s="6" t="inlineStr">
        <is>
          <t>4.11</t>
        </is>
      </c>
      <c r="C64" s="6" t="inlineStr">
        <is>
          <t>Da definire sulla base della sezione 'Evidenze per l'audit' del criterio</t>
        </is>
      </c>
      <c r="D64" s="6" t="inlineStr">
        <is>
          <t>Alessandra Ferrara – Operations / Maintenance</t>
        </is>
      </c>
      <c r="E64" s="6" t="inlineStr"/>
      <c r="F64" s="6" t="inlineStr">
        <is>
          <t>Secondo criterio</t>
        </is>
      </c>
      <c r="G64" s="6" t="inlineStr">
        <is>
          <t>/Energia/4.11</t>
        </is>
      </c>
      <c r="H64" s="6" t="inlineStr"/>
      <c r="I64" s="6" t="inlineStr"/>
      <c r="J64" s="6" t="inlineStr">
        <is>
          <t>DA VERIFICARE</t>
        </is>
      </c>
      <c r="K64" s="6" t="inlineStr"/>
      <c r="L64" s="6" t="inlineStr"/>
    </row>
    <row r="65">
      <c r="A65" s="6" t="inlineStr">
        <is>
          <t>E-4.12</t>
        </is>
      </c>
      <c r="B65" s="6" t="inlineStr">
        <is>
          <t>4.12</t>
        </is>
      </c>
      <c r="C65" s="6" t="inlineStr">
        <is>
          <t>Da definire sulla base della sezione 'Evidenze per l'audit' del criterio</t>
        </is>
      </c>
      <c r="D65" s="6" t="inlineStr">
        <is>
          <t>Alessandra Ferrara – Operations / Maintenance</t>
        </is>
      </c>
      <c r="E65" s="6" t="inlineStr"/>
      <c r="F65" s="6" t="inlineStr">
        <is>
          <t>Secondo criterio</t>
        </is>
      </c>
      <c r="G65" s="6" t="inlineStr">
        <is>
          <t>/Energia/4.12</t>
        </is>
      </c>
      <c r="H65" s="6" t="inlineStr"/>
      <c r="I65" s="6" t="inlineStr"/>
      <c r="J65" s="6" t="inlineStr">
        <is>
          <t>DA VERIFICARE</t>
        </is>
      </c>
      <c r="K65" s="6" t="inlineStr"/>
      <c r="L65" s="6" t="inlineStr"/>
    </row>
    <row r="66">
      <c r="A66" s="6" t="inlineStr">
        <is>
          <t>E-4.13</t>
        </is>
      </c>
      <c r="B66" s="6" t="inlineStr">
        <is>
          <t>4.13</t>
        </is>
      </c>
      <c r="C66" s="6" t="inlineStr">
        <is>
          <t>Da definire sulla base della sezione 'Evidenze per l'audit' del criterio</t>
        </is>
      </c>
      <c r="D66" s="6" t="inlineStr">
        <is>
          <t>Alessandra Ferrara – Operations / Maintenance</t>
        </is>
      </c>
      <c r="E66" s="6" t="inlineStr"/>
      <c r="F66" s="6" t="inlineStr">
        <is>
          <t>Secondo criterio</t>
        </is>
      </c>
      <c r="G66" s="6" t="inlineStr">
        <is>
          <t>/Energia/4.13</t>
        </is>
      </c>
      <c r="H66" s="6" t="inlineStr"/>
      <c r="I66" s="6" t="inlineStr"/>
      <c r="J66" s="6" t="inlineStr">
        <is>
          <t>DA VERIFICARE</t>
        </is>
      </c>
      <c r="K66" s="6" t="inlineStr"/>
      <c r="L66" s="6" t="inlineStr"/>
    </row>
    <row r="67">
      <c r="A67" s="6" t="inlineStr">
        <is>
          <t>E-4.14</t>
        </is>
      </c>
      <c r="B67" s="6" t="inlineStr">
        <is>
          <t>4.14</t>
        </is>
      </c>
      <c r="C67" s="6" t="inlineStr">
        <is>
          <t>Da definire sulla base della sezione 'Evidenze per l'audit' del criterio</t>
        </is>
      </c>
      <c r="D67" s="6" t="inlineStr">
        <is>
          <t>Alessandra Ferrara – Operations / Maintenance</t>
        </is>
      </c>
      <c r="E67" s="6" t="inlineStr"/>
      <c r="F67" s="6" t="inlineStr">
        <is>
          <t>Secondo criterio</t>
        </is>
      </c>
      <c r="G67" s="6" t="inlineStr">
        <is>
          <t>/Energia/4.14</t>
        </is>
      </c>
      <c r="H67" s="6" t="inlineStr"/>
      <c r="I67" s="6" t="inlineStr"/>
      <c r="J67" s="6" t="inlineStr">
        <is>
          <t>DA VERIFICARE</t>
        </is>
      </c>
      <c r="K67" s="6" t="inlineStr"/>
      <c r="L67" s="6" t="inlineStr"/>
    </row>
    <row r="68">
      <c r="A68" s="6" t="inlineStr">
        <is>
          <t>E-4.15</t>
        </is>
      </c>
      <c r="B68" s="6" t="inlineStr">
        <is>
          <t>4.15</t>
        </is>
      </c>
      <c r="C68" s="6" t="inlineStr">
        <is>
          <t>Da definire sulla base della sezione 'Evidenze per l'audit' del criterio</t>
        </is>
      </c>
      <c r="D68" s="6" t="inlineStr">
        <is>
          <t>Alessandra Ferrara – Operations / Maintenance</t>
        </is>
      </c>
      <c r="E68" s="6" t="inlineStr"/>
      <c r="F68" s="6" t="inlineStr">
        <is>
          <t>Secondo criterio</t>
        </is>
      </c>
      <c r="G68" s="6" t="inlineStr">
        <is>
          <t>/Energia/4.15</t>
        </is>
      </c>
      <c r="H68" s="6" t="inlineStr"/>
      <c r="I68" s="6" t="inlineStr"/>
      <c r="J68" s="6" t="inlineStr">
        <is>
          <t>DA VERIFICARE</t>
        </is>
      </c>
      <c r="K68" s="6" t="inlineStr"/>
      <c r="L68" s="6" t="inlineStr"/>
    </row>
    <row r="69">
      <c r="A69" s="6" t="inlineStr">
        <is>
          <t>E-4.16</t>
        </is>
      </c>
      <c r="B69" s="6" t="inlineStr">
        <is>
          <t>4.16</t>
        </is>
      </c>
      <c r="C69" s="6" t="inlineStr">
        <is>
          <t>Da definire sulla base della sezione 'Evidenze per l'audit' del criterio</t>
        </is>
      </c>
      <c r="D69" s="6" t="inlineStr">
        <is>
          <t>Alessandra Ferrara – Operations / Maintenance</t>
        </is>
      </c>
      <c r="E69" s="6" t="inlineStr"/>
      <c r="F69" s="6" t="inlineStr">
        <is>
          <t>Secondo criterio</t>
        </is>
      </c>
      <c r="G69" s="6" t="inlineStr">
        <is>
          <t>/Energia/4.16</t>
        </is>
      </c>
      <c r="H69" s="6" t="inlineStr"/>
      <c r="I69" s="6" t="inlineStr"/>
      <c r="J69" s="6" t="inlineStr">
        <is>
          <t>DA VERIFICARE</t>
        </is>
      </c>
      <c r="K69" s="6" t="inlineStr"/>
      <c r="L69" s="6" t="inlineStr"/>
    </row>
    <row r="70">
      <c r="A70" s="6" t="inlineStr">
        <is>
          <t>E-4.17</t>
        </is>
      </c>
      <c r="B70" s="6" t="inlineStr">
        <is>
          <t>4.17</t>
        </is>
      </c>
      <c r="C70" s="6" t="inlineStr">
        <is>
          <t>Da definire sulla base della sezione 'Evidenze per l'audit' del criterio</t>
        </is>
      </c>
      <c r="D70" s="6" t="inlineStr">
        <is>
          <t>Alessandra Ferrara – Operations / Maintenance</t>
        </is>
      </c>
      <c r="E70" s="6" t="inlineStr"/>
      <c r="F70" s="6" t="inlineStr">
        <is>
          <t>Secondo criterio</t>
        </is>
      </c>
      <c r="G70" s="6" t="inlineStr">
        <is>
          <t>/Energia/4.17</t>
        </is>
      </c>
      <c r="H70" s="6" t="inlineStr"/>
      <c r="I70" s="6" t="inlineStr"/>
      <c r="J70" s="6" t="inlineStr">
        <is>
          <t>DA VERIFICARE</t>
        </is>
      </c>
      <c r="K70" s="6" t="inlineStr"/>
      <c r="L70" s="6" t="inlineStr"/>
    </row>
    <row r="71">
      <c r="A71" s="6" t="inlineStr">
        <is>
          <t>E-4.18</t>
        </is>
      </c>
      <c r="B71" s="6" t="inlineStr">
        <is>
          <t>4.18</t>
        </is>
      </c>
      <c r="C71" s="6" t="inlineStr">
        <is>
          <t>Da definire sulla base della sezione 'Evidenze per l'audit' del criterio</t>
        </is>
      </c>
      <c r="D71" s="6" t="inlineStr">
        <is>
          <t>Alessandra Ferrara – Operations / Maintenance</t>
        </is>
      </c>
      <c r="E71" s="6" t="inlineStr"/>
      <c r="F71" s="6" t="inlineStr">
        <is>
          <t>Secondo criterio</t>
        </is>
      </c>
      <c r="G71" s="6" t="inlineStr">
        <is>
          <t>/Energia/4.18</t>
        </is>
      </c>
      <c r="H71" s="6" t="inlineStr"/>
      <c r="I71" s="6" t="inlineStr"/>
      <c r="J71" s="6" t="inlineStr">
        <is>
          <t>DA VERIFICARE</t>
        </is>
      </c>
      <c r="K71" s="6" t="inlineStr"/>
      <c r="L71" s="6" t="inlineStr"/>
    </row>
    <row r="72">
      <c r="A72" s="6" t="inlineStr">
        <is>
          <t>E-4.19</t>
        </is>
      </c>
      <c r="B72" s="6" t="inlineStr">
        <is>
          <t>4.19</t>
        </is>
      </c>
      <c r="C72" s="6" t="inlineStr">
        <is>
          <t>Da definire sulla base della sezione 'Evidenze per l'audit' del criterio</t>
        </is>
      </c>
      <c r="D72" s="6" t="inlineStr">
        <is>
          <t>Alessandra Ferrara – Operations / Maintenance</t>
        </is>
      </c>
      <c r="E72" s="6" t="inlineStr"/>
      <c r="F72" s="6" t="inlineStr">
        <is>
          <t>Secondo criterio</t>
        </is>
      </c>
      <c r="G72" s="6" t="inlineStr">
        <is>
          <t>/Energia/4.19</t>
        </is>
      </c>
      <c r="H72" s="6" t="inlineStr"/>
      <c r="I72" s="6" t="inlineStr"/>
      <c r="J72" s="6" t="inlineStr">
        <is>
          <t>DA VERIFICARE</t>
        </is>
      </c>
      <c r="K72" s="6" t="inlineStr"/>
      <c r="L72" s="6" t="inlineStr"/>
    </row>
    <row r="73">
      <c r="A73" s="6" t="inlineStr">
        <is>
          <t>E-4.20</t>
        </is>
      </c>
      <c r="B73" s="6" t="inlineStr">
        <is>
          <t>4.20</t>
        </is>
      </c>
      <c r="C73" s="6" t="inlineStr">
        <is>
          <t>Da definire sulla base della sezione 'Evidenze per l'audit' del criterio</t>
        </is>
      </c>
      <c r="D73" s="6" t="inlineStr">
        <is>
          <t>Alessandra Ferrara – Operations / Maintenance</t>
        </is>
      </c>
      <c r="E73" s="6" t="inlineStr"/>
      <c r="F73" s="6" t="inlineStr">
        <is>
          <t>Secondo criterio</t>
        </is>
      </c>
      <c r="G73" s="6" t="inlineStr">
        <is>
          <t>/Energia/4.20</t>
        </is>
      </c>
      <c r="H73" s="6" t="inlineStr"/>
      <c r="I73" s="6" t="inlineStr"/>
      <c r="J73" s="6" t="inlineStr">
        <is>
          <t>DA VERIFICARE</t>
        </is>
      </c>
      <c r="K73" s="6" t="inlineStr"/>
      <c r="L73" s="6" t="inlineStr"/>
    </row>
    <row r="74">
      <c r="A74" s="6" t="inlineStr">
        <is>
          <t>E-4.21</t>
        </is>
      </c>
      <c r="B74" s="6" t="inlineStr">
        <is>
          <t>4.21</t>
        </is>
      </c>
      <c r="C74" s="6" t="inlineStr">
        <is>
          <t>Da definire sulla base della sezione 'Evidenze per l'audit' del criterio</t>
        </is>
      </c>
      <c r="D74" s="6" t="inlineStr">
        <is>
          <t>Alessandra Ferrara – Operations / Maintenance</t>
        </is>
      </c>
      <c r="E74" s="6" t="inlineStr"/>
      <c r="F74" s="6" t="inlineStr">
        <is>
          <t>Secondo criterio</t>
        </is>
      </c>
      <c r="G74" s="6" t="inlineStr">
        <is>
          <t>/Energia/4.21</t>
        </is>
      </c>
      <c r="H74" s="6" t="inlineStr"/>
      <c r="I74" s="6" t="inlineStr"/>
      <c r="J74" s="6" t="inlineStr">
        <is>
          <t>DA VERIFICARE</t>
        </is>
      </c>
      <c r="K74" s="6" t="inlineStr"/>
      <c r="L74" s="6" t="inlineStr"/>
    </row>
    <row r="75">
      <c r="A75" s="6" t="inlineStr">
        <is>
          <t>E-4.22</t>
        </is>
      </c>
      <c r="B75" s="6" t="inlineStr">
        <is>
          <t>4.22</t>
        </is>
      </c>
      <c r="C75" s="6" t="inlineStr">
        <is>
          <t>Da definire sulla base della sezione 'Evidenze per l'audit' del criterio</t>
        </is>
      </c>
      <c r="D75" s="6" t="inlineStr">
        <is>
          <t>Alessandra Ferrara – Operations / Maintenance</t>
        </is>
      </c>
      <c r="E75" s="6" t="inlineStr"/>
      <c r="F75" s="6" t="inlineStr">
        <is>
          <t>Secondo criterio</t>
        </is>
      </c>
      <c r="G75" s="6" t="inlineStr">
        <is>
          <t>/Energia/4.22</t>
        </is>
      </c>
      <c r="H75" s="6" t="inlineStr"/>
      <c r="I75" s="6" t="inlineStr"/>
      <c r="J75" s="6" t="inlineStr">
        <is>
          <t>DA VERIFICARE</t>
        </is>
      </c>
      <c r="K75" s="6" t="inlineStr"/>
      <c r="L75" s="6" t="inlineStr"/>
    </row>
    <row r="76">
      <c r="A76" s="6" t="inlineStr">
        <is>
          <t>E-4.23</t>
        </is>
      </c>
      <c r="B76" s="6" t="inlineStr">
        <is>
          <t>4.23</t>
        </is>
      </c>
      <c r="C76" s="6" t="inlineStr">
        <is>
          <t>Da definire sulla base della sezione 'Evidenze per l'audit' del criterio</t>
        </is>
      </c>
      <c r="D76" s="6" t="inlineStr">
        <is>
          <t>Alessandra Ferrara – Operations / Maintenance</t>
        </is>
      </c>
      <c r="E76" s="6" t="inlineStr"/>
      <c r="F76" s="6" t="inlineStr">
        <is>
          <t>Secondo criterio</t>
        </is>
      </c>
      <c r="G76" s="6" t="inlineStr">
        <is>
          <t>/Energia/4.23</t>
        </is>
      </c>
      <c r="H76" s="6" t="inlineStr"/>
      <c r="I76" s="6" t="inlineStr"/>
      <c r="J76" s="6" t="inlineStr">
        <is>
          <t>DA VERIFICARE</t>
        </is>
      </c>
      <c r="K76" s="6" t="inlineStr"/>
      <c r="L76" s="6" t="inlineStr"/>
    </row>
    <row r="77">
      <c r="A77" s="6" t="inlineStr">
        <is>
          <t>E-4.24</t>
        </is>
      </c>
      <c r="B77" s="6" t="inlineStr">
        <is>
          <t>4.24</t>
        </is>
      </c>
      <c r="C77" s="6" t="inlineStr">
        <is>
          <t>Da definire sulla base della sezione 'Evidenze per l'audit' del criterio</t>
        </is>
      </c>
      <c r="D77" s="6" t="inlineStr">
        <is>
          <t>Alessandra Ferrara – Operations / Maintenance</t>
        </is>
      </c>
      <c r="E77" s="6" t="inlineStr"/>
      <c r="F77" s="6" t="inlineStr">
        <is>
          <t>Secondo criterio</t>
        </is>
      </c>
      <c r="G77" s="6" t="inlineStr">
        <is>
          <t>/Energia/4.24</t>
        </is>
      </c>
      <c r="H77" s="6" t="inlineStr"/>
      <c r="I77" s="6" t="inlineStr"/>
      <c r="J77" s="6" t="inlineStr">
        <is>
          <t>DA VERIFICARE</t>
        </is>
      </c>
      <c r="K77" s="6" t="inlineStr"/>
      <c r="L77" s="6" t="inlineStr"/>
    </row>
    <row r="78">
      <c r="A78" s="6" t="inlineStr">
        <is>
          <t>E-4.25</t>
        </is>
      </c>
      <c r="B78" s="6" t="inlineStr">
        <is>
          <t>4.25</t>
        </is>
      </c>
      <c r="C78" s="6" t="inlineStr">
        <is>
          <t>Da definire sulla base della sezione 'Evidenze per l'audit' del criterio</t>
        </is>
      </c>
      <c r="D78" s="6" t="inlineStr">
        <is>
          <t>Alessandra Ferrara – Operations / Maintenance</t>
        </is>
      </c>
      <c r="E78" s="6" t="inlineStr"/>
      <c r="F78" s="6" t="inlineStr">
        <is>
          <t>Secondo criterio</t>
        </is>
      </c>
      <c r="G78" s="6" t="inlineStr">
        <is>
          <t>/Energia/4.25</t>
        </is>
      </c>
      <c r="H78" s="6" t="inlineStr"/>
      <c r="I78" s="6" t="inlineStr"/>
      <c r="J78" s="6" t="inlineStr">
        <is>
          <t>DA VERIFICARE</t>
        </is>
      </c>
      <c r="K78" s="6" t="inlineStr"/>
      <c r="L78" s="6" t="inlineStr"/>
    </row>
    <row r="79">
      <c r="A79" s="6" t="inlineStr">
        <is>
          <t>E-4.26</t>
        </is>
      </c>
      <c r="B79" s="6" t="inlineStr">
        <is>
          <t>4.26</t>
        </is>
      </c>
      <c r="C79" s="6" t="inlineStr">
        <is>
          <t>Da definire sulla base della sezione 'Evidenze per l'audit' del criterio</t>
        </is>
      </c>
      <c r="D79" s="6" t="inlineStr">
        <is>
          <t>Alessandra Ferrara – Operations / Maintenance</t>
        </is>
      </c>
      <c r="E79" s="6" t="inlineStr"/>
      <c r="F79" s="6" t="inlineStr">
        <is>
          <t>Secondo criterio</t>
        </is>
      </c>
      <c r="G79" s="6" t="inlineStr">
        <is>
          <t>/Energia/4.26</t>
        </is>
      </c>
      <c r="H79" s="6" t="inlineStr"/>
      <c r="I79" s="6" t="inlineStr"/>
      <c r="J79" s="6" t="inlineStr">
        <is>
          <t>DA VERIFICARE</t>
        </is>
      </c>
      <c r="K79" s="6" t="inlineStr"/>
      <c r="L79" s="6" t="inlineStr"/>
    </row>
    <row r="80">
      <c r="A80" s="6" t="inlineStr">
        <is>
          <t>E-4.27</t>
        </is>
      </c>
      <c r="B80" s="6" t="inlineStr">
        <is>
          <t>4.27</t>
        </is>
      </c>
      <c r="C80" s="6" t="inlineStr">
        <is>
          <t>Da definire sulla base della sezione 'Evidenze per l'audit' del criterio</t>
        </is>
      </c>
      <c r="D80" s="6" t="inlineStr">
        <is>
          <t>Jonathan Pezzino – Green Key</t>
        </is>
      </c>
      <c r="E80" s="6" t="inlineStr"/>
      <c r="F80" s="6" t="inlineStr">
        <is>
          <t>Secondo criterio</t>
        </is>
      </c>
      <c r="G80" s="6" t="inlineStr">
        <is>
          <t>/Energia/4.27</t>
        </is>
      </c>
      <c r="H80" s="6" t="inlineStr"/>
      <c r="I80" s="6" t="inlineStr"/>
      <c r="J80" s="6" t="inlineStr">
        <is>
          <t>DA VERIFICARE</t>
        </is>
      </c>
      <c r="K80" s="6" t="inlineStr"/>
      <c r="L80" s="6" t="inlineStr"/>
    </row>
    <row r="81">
      <c r="A81" s="6" t="inlineStr">
        <is>
          <t>E-4.28</t>
        </is>
      </c>
      <c r="B81" s="6" t="inlineStr">
        <is>
          <t>4.28</t>
        </is>
      </c>
      <c r="C81" s="6" t="inlineStr">
        <is>
          <t>Da definire sulla base della sezione 'Evidenze per l'audit' del criterio</t>
        </is>
      </c>
      <c r="D81" s="6" t="inlineStr">
        <is>
          <t>Jonathan Pezzino – Green Key</t>
        </is>
      </c>
      <c r="E81" s="6" t="inlineStr"/>
      <c r="F81" s="6" t="inlineStr">
        <is>
          <t>Secondo criterio</t>
        </is>
      </c>
      <c r="G81" s="6" t="inlineStr">
        <is>
          <t>/Energia/4.28</t>
        </is>
      </c>
      <c r="H81" s="6" t="inlineStr"/>
      <c r="I81" s="6" t="inlineStr"/>
      <c r="J81" s="6" t="inlineStr">
        <is>
          <t>DA VERIFICARE</t>
        </is>
      </c>
      <c r="K81" s="6" t="inlineStr"/>
      <c r="L81" s="6" t="inlineStr"/>
    </row>
    <row r="82">
      <c r="A82" s="6" t="inlineStr">
        <is>
          <t>E-4.29</t>
        </is>
      </c>
      <c r="B82" s="6" t="inlineStr">
        <is>
          <t>4.29</t>
        </is>
      </c>
      <c r="C82" s="6" t="inlineStr">
        <is>
          <t>Da definire sulla base della sezione 'Evidenze per l'audit' del criterio</t>
        </is>
      </c>
      <c r="D82" s="6" t="inlineStr">
        <is>
          <t>Alessandra Ferrara – Operations / Maintenance</t>
        </is>
      </c>
      <c r="E82" s="6" t="inlineStr"/>
      <c r="F82" s="6" t="inlineStr">
        <is>
          <t>Secondo criterio</t>
        </is>
      </c>
      <c r="G82" s="6" t="inlineStr">
        <is>
          <t>/Energia/4.29</t>
        </is>
      </c>
      <c r="H82" s="6" t="inlineStr"/>
      <c r="I82" s="6" t="inlineStr"/>
      <c r="J82" s="6" t="inlineStr">
        <is>
          <t>DA VERIFICARE</t>
        </is>
      </c>
      <c r="K82" s="6" t="inlineStr"/>
      <c r="L82" s="6" t="inlineStr"/>
    </row>
    <row r="83">
      <c r="A83" s="6" t="inlineStr">
        <is>
          <t>E-5.1</t>
        </is>
      </c>
      <c r="B83" s="6" t="inlineStr">
        <is>
          <t>5.1</t>
        </is>
      </c>
      <c r="C83" s="6" t="inlineStr">
        <is>
          <t>Da definire sulla base della sezione 'Evidenze per l'audit' del criterio</t>
        </is>
      </c>
      <c r="D83" s="6" t="inlineStr">
        <is>
          <t>Georgiana Radescu – Housekeeping</t>
        </is>
      </c>
      <c r="E83" s="6" t="inlineStr"/>
      <c r="F83" s="6" t="inlineStr">
        <is>
          <t>Secondo criterio</t>
        </is>
      </c>
      <c r="G83" s="6" t="inlineStr">
        <is>
          <t>/Rifiuti/5.1</t>
        </is>
      </c>
      <c r="H83" s="6" t="inlineStr"/>
      <c r="I83" s="6" t="inlineStr"/>
      <c r="J83" s="6" t="inlineStr">
        <is>
          <t>DA VERIFICARE</t>
        </is>
      </c>
      <c r="K83" s="6" t="inlineStr"/>
      <c r="L83" s="6" t="inlineStr"/>
    </row>
    <row r="84">
      <c r="A84" s="6" t="inlineStr">
        <is>
          <t>E-5.2</t>
        </is>
      </c>
      <c r="B84" s="6" t="inlineStr">
        <is>
          <t>5.2</t>
        </is>
      </c>
      <c r="C84" s="6" t="inlineStr">
        <is>
          <t>Da definire sulla base della sezione 'Evidenze per l'audit' del criterio</t>
        </is>
      </c>
      <c r="D84" s="6" t="inlineStr">
        <is>
          <t>Georgiana Radescu – Housekeeping</t>
        </is>
      </c>
      <c r="E84" s="6" t="inlineStr"/>
      <c r="F84" s="6" t="inlineStr">
        <is>
          <t>Secondo criterio</t>
        </is>
      </c>
      <c r="G84" s="6" t="inlineStr">
        <is>
          <t>/Rifiuti/5.2</t>
        </is>
      </c>
      <c r="H84" s="6" t="inlineStr"/>
      <c r="I84" s="6" t="inlineStr"/>
      <c r="J84" s="6" t="inlineStr">
        <is>
          <t>DA VERIFICARE</t>
        </is>
      </c>
      <c r="K84" s="6" t="inlineStr"/>
      <c r="L84" s="6" t="inlineStr"/>
    </row>
    <row r="85">
      <c r="A85" s="6" t="inlineStr">
        <is>
          <t>E-5.3</t>
        </is>
      </c>
      <c r="B85" s="6" t="inlineStr">
        <is>
          <t>5.3</t>
        </is>
      </c>
      <c r="C85" s="6" t="inlineStr">
        <is>
          <t>Da definire sulla base della sezione 'Evidenze per l'audit' del criterio</t>
        </is>
      </c>
      <c r="D85" s="6" t="inlineStr">
        <is>
          <t>Georgiana Radescu – Housekeeping</t>
        </is>
      </c>
      <c r="E85" s="6" t="inlineStr"/>
      <c r="F85" s="6" t="inlineStr">
        <is>
          <t>Secondo criterio</t>
        </is>
      </c>
      <c r="G85" s="6" t="inlineStr">
        <is>
          <t>/Rifiuti/5.3</t>
        </is>
      </c>
      <c r="H85" s="6" t="inlineStr"/>
      <c r="I85" s="6" t="inlineStr"/>
      <c r="J85" s="6" t="inlineStr">
        <is>
          <t>DA VERIFICARE</t>
        </is>
      </c>
      <c r="K85" s="6" t="inlineStr"/>
      <c r="L85" s="6" t="inlineStr"/>
    </row>
    <row r="86">
      <c r="A86" s="6" t="inlineStr">
        <is>
          <t>E-5.4</t>
        </is>
      </c>
      <c r="B86" s="6" t="inlineStr">
        <is>
          <t>5.4</t>
        </is>
      </c>
      <c r="C86" s="6" t="inlineStr">
        <is>
          <t>Da definire sulla base della sezione 'Evidenze per l'audit' del criterio</t>
        </is>
      </c>
      <c r="D86" s="6" t="inlineStr">
        <is>
          <t>Georgiana Radescu – Housekeeping</t>
        </is>
      </c>
      <c r="E86" s="6" t="inlineStr"/>
      <c r="F86" s="6" t="inlineStr">
        <is>
          <t>Secondo criterio</t>
        </is>
      </c>
      <c r="G86" s="6" t="inlineStr">
        <is>
          <t>/Rifiuti/5.4</t>
        </is>
      </c>
      <c r="H86" s="6" t="inlineStr"/>
      <c r="I86" s="6" t="inlineStr"/>
      <c r="J86" s="6" t="inlineStr">
        <is>
          <t>DA VERIFICARE</t>
        </is>
      </c>
      <c r="K86" s="6" t="inlineStr"/>
      <c r="L86" s="6" t="inlineStr"/>
    </row>
    <row r="87">
      <c r="A87" s="6" t="inlineStr">
        <is>
          <t>E-5.5</t>
        </is>
      </c>
      <c r="B87" s="6" t="inlineStr">
        <is>
          <t>5.5</t>
        </is>
      </c>
      <c r="C87" s="6" t="inlineStr">
        <is>
          <t>Da definire sulla base della sezione 'Evidenze per l'audit' del criterio</t>
        </is>
      </c>
      <c r="D87" s="6" t="inlineStr">
        <is>
          <t>Georgiana Radescu – Housekeeping</t>
        </is>
      </c>
      <c r="E87" s="6" t="inlineStr"/>
      <c r="F87" s="6" t="inlineStr">
        <is>
          <t>Secondo criterio</t>
        </is>
      </c>
      <c r="G87" s="6" t="inlineStr">
        <is>
          <t>/Rifiuti/5.5</t>
        </is>
      </c>
      <c r="H87" s="6" t="inlineStr"/>
      <c r="I87" s="6" t="inlineStr"/>
      <c r="J87" s="6" t="inlineStr">
        <is>
          <t>DA VERIFICARE</t>
        </is>
      </c>
      <c r="K87" s="6" t="inlineStr"/>
      <c r="L87" s="6" t="inlineStr"/>
    </row>
    <row r="88">
      <c r="A88" s="6" t="inlineStr">
        <is>
          <t>E-5.6</t>
        </is>
      </c>
      <c r="B88" s="6" t="inlineStr">
        <is>
          <t>5.6</t>
        </is>
      </c>
      <c r="C88" s="6" t="inlineStr">
        <is>
          <t>Da definire sulla base della sezione 'Evidenze per l'audit' del criterio</t>
        </is>
      </c>
      <c r="D88" s="6" t="inlineStr">
        <is>
          <t>Georgiana Radescu – Housekeeping</t>
        </is>
      </c>
      <c r="E88" s="6" t="inlineStr"/>
      <c r="F88" s="6" t="inlineStr">
        <is>
          <t>Secondo criterio</t>
        </is>
      </c>
      <c r="G88" s="6" t="inlineStr">
        <is>
          <t>/Rifiuti/5.6</t>
        </is>
      </c>
      <c r="H88" s="6" t="inlineStr"/>
      <c r="I88" s="6" t="inlineStr"/>
      <c r="J88" s="6" t="inlineStr">
        <is>
          <t>DA VERIFICARE</t>
        </is>
      </c>
      <c r="K88" s="6" t="inlineStr"/>
      <c r="L88" s="6" t="inlineStr"/>
    </row>
    <row r="89">
      <c r="A89" s="6" t="inlineStr">
        <is>
          <t>E-5.7</t>
        </is>
      </c>
      <c r="B89" s="6" t="inlineStr">
        <is>
          <t>5.7</t>
        </is>
      </c>
      <c r="C89" s="6" t="inlineStr">
        <is>
          <t>Da definire sulla base della sezione 'Evidenze per l'audit' del criterio</t>
        </is>
      </c>
      <c r="D89" s="6" t="inlineStr">
        <is>
          <t>Alessandra Ferrara – Operations / Maintenance</t>
        </is>
      </c>
      <c r="E89" s="6" t="inlineStr"/>
      <c r="F89" s="6" t="inlineStr">
        <is>
          <t>Secondo criterio</t>
        </is>
      </c>
      <c r="G89" s="6" t="inlineStr">
        <is>
          <t>/Rifiuti/5.7</t>
        </is>
      </c>
      <c r="H89" s="6" t="inlineStr"/>
      <c r="I89" s="6" t="inlineStr"/>
      <c r="J89" s="6" t="inlineStr">
        <is>
          <t>DA VERIFICARE</t>
        </is>
      </c>
      <c r="K89" s="6" t="inlineStr"/>
      <c r="L89" s="6" t="inlineStr"/>
    </row>
    <row r="90">
      <c r="A90" s="6" t="inlineStr">
        <is>
          <t>E-5.8</t>
        </is>
      </c>
      <c r="B90" s="6" t="inlineStr">
        <is>
          <t>5.8</t>
        </is>
      </c>
      <c r="C90" s="6" t="inlineStr">
        <is>
          <t>Da definire sulla base della sezione 'Evidenze per l'audit' del criterio</t>
        </is>
      </c>
      <c r="D90" s="6" t="inlineStr">
        <is>
          <t>Georgiana Radescu – Housekeeping</t>
        </is>
      </c>
      <c r="E90" s="6" t="inlineStr"/>
      <c r="F90" s="6" t="inlineStr">
        <is>
          <t>Secondo criterio</t>
        </is>
      </c>
      <c r="G90" s="6" t="inlineStr">
        <is>
          <t>/Rifiuti/5.8</t>
        </is>
      </c>
      <c r="H90" s="6" t="inlineStr"/>
      <c r="I90" s="6" t="inlineStr"/>
      <c r="J90" s="6" t="inlineStr">
        <is>
          <t>DA VERIFICARE</t>
        </is>
      </c>
      <c r="K90" s="6" t="inlineStr"/>
      <c r="L90" s="6" t="inlineStr"/>
    </row>
    <row r="91">
      <c r="A91" s="6" t="inlineStr">
        <is>
          <t>E-5.9</t>
        </is>
      </c>
      <c r="B91" s="6" t="inlineStr">
        <is>
          <t>5.9</t>
        </is>
      </c>
      <c r="C91" s="6" t="inlineStr">
        <is>
          <t>Da definire sulla base della sezione 'Evidenze per l'audit' del criterio</t>
        </is>
      </c>
      <c r="D91" s="6" t="inlineStr">
        <is>
          <t>Georgiana Radescu – Housekeeping</t>
        </is>
      </c>
      <c r="E91" s="6" t="inlineStr"/>
      <c r="F91" s="6" t="inlineStr">
        <is>
          <t>Secondo criterio</t>
        </is>
      </c>
      <c r="G91" s="6" t="inlineStr">
        <is>
          <t>/Rifiuti/5.9</t>
        </is>
      </c>
      <c r="H91" s="6" t="inlineStr"/>
      <c r="I91" s="6" t="inlineStr"/>
      <c r="J91" s="6" t="inlineStr">
        <is>
          <t>DA VERIFICARE</t>
        </is>
      </c>
      <c r="K91" s="6" t="inlineStr"/>
      <c r="L91" s="6" t="inlineStr"/>
    </row>
    <row r="92">
      <c r="A92" s="6" t="inlineStr">
        <is>
          <t>E-5.10</t>
        </is>
      </c>
      <c r="B92" s="6" t="inlineStr">
        <is>
          <t>5.10</t>
        </is>
      </c>
      <c r="C92" s="6" t="inlineStr">
        <is>
          <t>Da definire sulla base della sezione 'Evidenze per l'audit' del criterio</t>
        </is>
      </c>
      <c r="D92" s="6" t="inlineStr">
        <is>
          <t>Georgiana Radescu – Housekeeping</t>
        </is>
      </c>
      <c r="E92" s="6" t="inlineStr"/>
      <c r="F92" s="6" t="inlineStr">
        <is>
          <t>Secondo criterio</t>
        </is>
      </c>
      <c r="G92" s="6" t="inlineStr">
        <is>
          <t>/Rifiuti/5.10</t>
        </is>
      </c>
      <c r="H92" s="6" t="inlineStr"/>
      <c r="I92" s="6" t="inlineStr"/>
      <c r="J92" s="6" t="inlineStr">
        <is>
          <t>DA VERIFICARE</t>
        </is>
      </c>
      <c r="K92" s="6" t="inlineStr"/>
      <c r="L92" s="6" t="inlineStr"/>
    </row>
    <row r="93">
      <c r="A93" s="6" t="inlineStr">
        <is>
          <t>E-5.11</t>
        </is>
      </c>
      <c r="B93" s="6" t="inlineStr">
        <is>
          <t>5.11</t>
        </is>
      </c>
      <c r="C93" s="6" t="inlineStr">
        <is>
          <t>Da definire sulla base della sezione 'Evidenze per l'audit' del criterio</t>
        </is>
      </c>
      <c r="D93" s="6" t="inlineStr">
        <is>
          <t>Georgiana Radescu – Housekeeping</t>
        </is>
      </c>
      <c r="E93" s="6" t="inlineStr"/>
      <c r="F93" s="6" t="inlineStr">
        <is>
          <t>Secondo criterio</t>
        </is>
      </c>
      <c r="G93" s="6" t="inlineStr">
        <is>
          <t>/Rifiuti/5.11</t>
        </is>
      </c>
      <c r="H93" s="6" t="inlineStr"/>
      <c r="I93" s="6" t="inlineStr"/>
      <c r="J93" s="6" t="inlineStr">
        <is>
          <t>DA VERIFICARE</t>
        </is>
      </c>
      <c r="K93" s="6" t="inlineStr"/>
      <c r="L93" s="6" t="inlineStr"/>
    </row>
    <row r="94">
      <c r="A94" s="6" t="inlineStr">
        <is>
          <t>E-5.12</t>
        </is>
      </c>
      <c r="B94" s="6" t="inlineStr">
        <is>
          <t>5.12</t>
        </is>
      </c>
      <c r="C94" s="6" t="inlineStr">
        <is>
          <t>Da definire sulla base della sezione 'Evidenze per l'audit' del criterio</t>
        </is>
      </c>
      <c r="D94" s="6" t="inlineStr">
        <is>
          <t>Georgiana Radescu – Housekeeping</t>
        </is>
      </c>
      <c r="E94" s="6" t="inlineStr"/>
      <c r="F94" s="6" t="inlineStr">
        <is>
          <t>Secondo criterio</t>
        </is>
      </c>
      <c r="G94" s="6" t="inlineStr">
        <is>
          <t>/Rifiuti/5.12</t>
        </is>
      </c>
      <c r="H94" s="6" t="inlineStr"/>
      <c r="I94" s="6" t="inlineStr"/>
      <c r="J94" s="6" t="inlineStr">
        <is>
          <t>DA VERIFICARE</t>
        </is>
      </c>
      <c r="K94" s="6" t="inlineStr"/>
      <c r="L94" s="6" t="inlineStr"/>
    </row>
    <row r="95">
      <c r="A95" s="6" t="inlineStr">
        <is>
          <t>E-5.13</t>
        </is>
      </c>
      <c r="B95" s="6" t="inlineStr">
        <is>
          <t>5.13</t>
        </is>
      </c>
      <c r="C95" s="6" t="inlineStr">
        <is>
          <t>Da definire sulla base della sezione 'Evidenze per l'audit' del criterio</t>
        </is>
      </c>
      <c r="D95" s="6" t="inlineStr">
        <is>
          <t>Georgiana Radescu – Housekeeping</t>
        </is>
      </c>
      <c r="E95" s="6" t="inlineStr"/>
      <c r="F95" s="6" t="inlineStr">
        <is>
          <t>Secondo criterio</t>
        </is>
      </c>
      <c r="G95" s="6" t="inlineStr">
        <is>
          <t>/Rifiuti/5.13</t>
        </is>
      </c>
      <c r="H95" s="6" t="inlineStr"/>
      <c r="I95" s="6" t="inlineStr"/>
      <c r="J95" s="6" t="inlineStr">
        <is>
          <t>DA VERIFICARE</t>
        </is>
      </c>
      <c r="K95" s="6" t="inlineStr"/>
      <c r="L95" s="6" t="inlineStr"/>
    </row>
    <row r="96">
      <c r="A96" s="6" t="inlineStr">
        <is>
          <t>E-6.1</t>
        </is>
      </c>
      <c r="B96" s="6" t="inlineStr">
        <is>
          <t>6.1</t>
        </is>
      </c>
      <c r="C96" s="6" t="inlineStr">
        <is>
          <t>Da definire sulla base della sezione 'Evidenze per l'audit' del criterio</t>
        </is>
      </c>
      <c r="D96" s="6" t="inlineStr">
        <is>
          <t>Vito Quarto – Executive Chef</t>
        </is>
      </c>
      <c r="E96" s="6" t="inlineStr"/>
      <c r="F96" s="6" t="inlineStr">
        <is>
          <t>Secondo criterio</t>
        </is>
      </c>
      <c r="G96" s="6" t="inlineStr">
        <is>
          <t>/Acquisti / F&amp;B/6.1</t>
        </is>
      </c>
      <c r="H96" s="6" t="inlineStr"/>
      <c r="I96" s="6" t="inlineStr"/>
      <c r="J96" s="6" t="inlineStr">
        <is>
          <t>DA VERIFICARE</t>
        </is>
      </c>
      <c r="K96" s="6" t="inlineStr"/>
      <c r="L96" s="6" t="inlineStr"/>
    </row>
    <row r="97">
      <c r="A97" s="6" t="inlineStr">
        <is>
          <t>E-6.2</t>
        </is>
      </c>
      <c r="B97" s="6" t="inlineStr">
        <is>
          <t>6.2</t>
        </is>
      </c>
      <c r="C97" s="6" t="inlineStr">
        <is>
          <t>Da definire sulla base della sezione 'Evidenze per l'audit' del criterio</t>
        </is>
      </c>
      <c r="D97" s="6" t="inlineStr">
        <is>
          <t>Vito Quarto – Executive Chef</t>
        </is>
      </c>
      <c r="E97" s="6" t="inlineStr"/>
      <c r="F97" s="6" t="inlineStr">
        <is>
          <t>Secondo criterio</t>
        </is>
      </c>
      <c r="G97" s="6" t="inlineStr">
        <is>
          <t>/Acquisti / F&amp;B/6.2</t>
        </is>
      </c>
      <c r="H97" s="6" t="inlineStr"/>
      <c r="I97" s="6" t="inlineStr"/>
      <c r="J97" s="6" t="inlineStr">
        <is>
          <t>DA VERIFICARE</t>
        </is>
      </c>
      <c r="K97" s="6" t="inlineStr"/>
      <c r="L97" s="6" t="inlineStr"/>
    </row>
    <row r="98">
      <c r="A98" s="6" t="inlineStr">
        <is>
          <t>E-6.3</t>
        </is>
      </c>
      <c r="B98" s="6" t="inlineStr">
        <is>
          <t>6.3</t>
        </is>
      </c>
      <c r="C98" s="6" t="inlineStr">
        <is>
          <t>Da definire sulla base della sezione 'Evidenze per l'audit' del criterio</t>
        </is>
      </c>
      <c r="D98" s="6" t="inlineStr">
        <is>
          <t>Vito Quarto – Executive Chef</t>
        </is>
      </c>
      <c r="E98" s="6" t="inlineStr"/>
      <c r="F98" s="6" t="inlineStr">
        <is>
          <t>Secondo criterio</t>
        </is>
      </c>
      <c r="G98" s="6" t="inlineStr">
        <is>
          <t>/Acquisti / F&amp;B/6.3</t>
        </is>
      </c>
      <c r="H98" s="6" t="inlineStr"/>
      <c r="I98" s="6" t="inlineStr"/>
      <c r="J98" s="6" t="inlineStr">
        <is>
          <t>DA VERIFICARE</t>
        </is>
      </c>
      <c r="K98" s="6" t="inlineStr"/>
      <c r="L98" s="6" t="inlineStr"/>
    </row>
    <row r="99">
      <c r="A99" s="6" t="inlineStr">
        <is>
          <t>E-6.4</t>
        </is>
      </c>
      <c r="B99" s="6" t="inlineStr">
        <is>
          <t>6.4</t>
        </is>
      </c>
      <c r="C99" s="6" t="inlineStr">
        <is>
          <t>Da definire sulla base della sezione 'Evidenze per l'audit' del criterio</t>
        </is>
      </c>
      <c r="D99" s="6" t="inlineStr">
        <is>
          <t>Alessandra Ferrara – Operations / Purchasing</t>
        </is>
      </c>
      <c r="E99" s="6" t="inlineStr"/>
      <c r="F99" s="6" t="inlineStr">
        <is>
          <t>Secondo criterio</t>
        </is>
      </c>
      <c r="G99" s="6" t="inlineStr">
        <is>
          <t>/Acquisti / F&amp;B/6.4</t>
        </is>
      </c>
      <c r="H99" s="6" t="inlineStr"/>
      <c r="I99" s="6" t="inlineStr"/>
      <c r="J99" s="6" t="inlineStr">
        <is>
          <t>DA VERIFICARE</t>
        </is>
      </c>
      <c r="K99" s="6" t="inlineStr"/>
      <c r="L99" s="6" t="inlineStr"/>
    </row>
    <row r="100">
      <c r="A100" s="6" t="inlineStr">
        <is>
          <t>E-6.5</t>
        </is>
      </c>
      <c r="B100" s="6" t="inlineStr">
        <is>
          <t>6.5</t>
        </is>
      </c>
      <c r="C100" s="6" t="inlineStr">
        <is>
          <t>Da definire sulla base della sezione 'Evidenze per l'audit' del criterio</t>
        </is>
      </c>
      <c r="D100" s="6" t="inlineStr">
        <is>
          <t>Alessandra Ferrara – Operations / Maintenance</t>
        </is>
      </c>
      <c r="E100" s="6" t="inlineStr"/>
      <c r="F100" s="6" t="inlineStr">
        <is>
          <t>Secondo criterio</t>
        </is>
      </c>
      <c r="G100" s="6" t="inlineStr">
        <is>
          <t>/Acquisti / F&amp;B/6.5</t>
        </is>
      </c>
      <c r="H100" s="6" t="inlineStr"/>
      <c r="I100" s="6" t="inlineStr"/>
      <c r="J100" s="6" t="inlineStr">
        <is>
          <t>DA VERIFICARE</t>
        </is>
      </c>
      <c r="K100" s="6" t="inlineStr"/>
      <c r="L100" s="6" t="inlineStr"/>
    </row>
    <row r="101">
      <c r="A101" s="6" t="inlineStr">
        <is>
          <t>E-6.6</t>
        </is>
      </c>
      <c r="B101" s="6" t="inlineStr">
        <is>
          <t>6.6</t>
        </is>
      </c>
      <c r="C101" s="6" t="inlineStr">
        <is>
          <t>Da definire sulla base della sezione 'Evidenze per l'audit' del criterio</t>
        </is>
      </c>
      <c r="D101" s="6" t="inlineStr">
        <is>
          <t>Alessandra Ferrara – Operations / Purchasing</t>
        </is>
      </c>
      <c r="E101" s="6" t="inlineStr"/>
      <c r="F101" s="6" t="inlineStr">
        <is>
          <t>Secondo criterio</t>
        </is>
      </c>
      <c r="G101" s="6" t="inlineStr">
        <is>
          <t>/Acquisti / F&amp;B/6.6</t>
        </is>
      </c>
      <c r="H101" s="6" t="inlineStr"/>
      <c r="I101" s="6" t="inlineStr"/>
      <c r="J101" s="6" t="inlineStr">
        <is>
          <t>DA VERIFICARE</t>
        </is>
      </c>
      <c r="K101" s="6" t="inlineStr"/>
      <c r="L101" s="6" t="inlineStr"/>
    </row>
    <row r="102">
      <c r="A102" s="6" t="inlineStr">
        <is>
          <t>E-6.7</t>
        </is>
      </c>
      <c r="B102" s="6" t="inlineStr">
        <is>
          <t>6.7</t>
        </is>
      </c>
      <c r="C102" s="6" t="inlineStr">
        <is>
          <t>Da definire sulla base della sezione 'Evidenze per l'audit' del criterio</t>
        </is>
      </c>
      <c r="D102" s="6" t="inlineStr">
        <is>
          <t>Alessandra Ferrara – Operations / Maintenance</t>
        </is>
      </c>
      <c r="E102" s="6" t="inlineStr"/>
      <c r="F102" s="6" t="inlineStr">
        <is>
          <t>Secondo criterio</t>
        </is>
      </c>
      <c r="G102" s="6" t="inlineStr">
        <is>
          <t>/Acquisti / F&amp;B/6.7</t>
        </is>
      </c>
      <c r="H102" s="6" t="inlineStr"/>
      <c r="I102" s="6" t="inlineStr"/>
      <c r="J102" s="6" t="inlineStr">
        <is>
          <t>DA VERIFICARE</t>
        </is>
      </c>
      <c r="K102" s="6" t="inlineStr"/>
      <c r="L102" s="6" t="inlineStr"/>
    </row>
    <row r="103">
      <c r="A103" s="6" t="inlineStr">
        <is>
          <t>E-6.8</t>
        </is>
      </c>
      <c r="B103" s="6" t="inlineStr">
        <is>
          <t>6.8</t>
        </is>
      </c>
      <c r="C103" s="6" t="inlineStr">
        <is>
          <t>Da definire sulla base della sezione 'Evidenze per l'audit' del criterio</t>
        </is>
      </c>
      <c r="D103" s="6" t="inlineStr">
        <is>
          <t>Alessandra Ferrara – Operations / Purchasing</t>
        </is>
      </c>
      <c r="E103" s="6" t="inlineStr"/>
      <c r="F103" s="6" t="inlineStr">
        <is>
          <t>Secondo criterio</t>
        </is>
      </c>
      <c r="G103" s="6" t="inlineStr">
        <is>
          <t>/Acquisti / F&amp;B/6.8</t>
        </is>
      </c>
      <c r="H103" s="6" t="inlineStr"/>
      <c r="I103" s="6" t="inlineStr"/>
      <c r="J103" s="6" t="inlineStr">
        <is>
          <t>DA VERIFICARE</t>
        </is>
      </c>
      <c r="K103" s="6" t="inlineStr"/>
      <c r="L103" s="6" t="inlineStr"/>
    </row>
    <row r="104">
      <c r="A104" s="6" t="inlineStr">
        <is>
          <t>E-6.9</t>
        </is>
      </c>
      <c r="B104" s="6" t="inlineStr">
        <is>
          <t>6.9</t>
        </is>
      </c>
      <c r="C104" s="6" t="inlineStr">
        <is>
          <t>Da definire sulla base della sezione 'Evidenze per l'audit' del criterio</t>
        </is>
      </c>
      <c r="D104" s="6" t="inlineStr">
        <is>
          <t>Alessandra Ferrara – Operations / Purchasing</t>
        </is>
      </c>
      <c r="E104" s="6" t="inlineStr"/>
      <c r="F104" s="6" t="inlineStr">
        <is>
          <t>Secondo criterio</t>
        </is>
      </c>
      <c r="G104" s="6" t="inlineStr">
        <is>
          <t>/Acquisti / F&amp;B/6.9</t>
        </is>
      </c>
      <c r="H104" s="6" t="inlineStr"/>
      <c r="I104" s="6" t="inlineStr"/>
      <c r="J104" s="6" t="inlineStr">
        <is>
          <t>DA VERIFICARE</t>
        </is>
      </c>
      <c r="K104" s="6" t="inlineStr"/>
      <c r="L104" s="6" t="inlineStr"/>
    </row>
    <row r="105">
      <c r="A105" s="6" t="inlineStr">
        <is>
          <t>E-6.10</t>
        </is>
      </c>
      <c r="B105" s="6" t="inlineStr">
        <is>
          <t>6.10</t>
        </is>
      </c>
      <c r="C105" s="6" t="inlineStr">
        <is>
          <t>Da definire sulla base della sezione 'Evidenze per l'audit' del criterio</t>
        </is>
      </c>
      <c r="D105" s="6" t="inlineStr">
        <is>
          <t>Alessandra Ferrara – Operations / Maintenance</t>
        </is>
      </c>
      <c r="E105" s="6" t="inlineStr"/>
      <c r="F105" s="6" t="inlineStr">
        <is>
          <t>Secondo criterio</t>
        </is>
      </c>
      <c r="G105" s="6" t="inlineStr">
        <is>
          <t>/Acquisti / F&amp;B/6.10</t>
        </is>
      </c>
      <c r="H105" s="6" t="inlineStr"/>
      <c r="I105" s="6" t="inlineStr"/>
      <c r="J105" s="6" t="inlineStr">
        <is>
          <t>DA VERIFICARE</t>
        </is>
      </c>
      <c r="K105" s="6" t="inlineStr"/>
      <c r="L105" s="6" t="inlineStr"/>
    </row>
    <row r="106">
      <c r="A106" s="6" t="inlineStr">
        <is>
          <t>E-6.11</t>
        </is>
      </c>
      <c r="B106" s="6" t="inlineStr">
        <is>
          <t>6.11</t>
        </is>
      </c>
      <c r="C106" s="6" t="inlineStr">
        <is>
          <t>Da definire sulla base della sezione 'Evidenze per l'audit' del criterio</t>
        </is>
      </c>
      <c r="D106" s="6" t="inlineStr">
        <is>
          <t>Vito Quarto – Executive Chef</t>
        </is>
      </c>
      <c r="E106" s="6" t="inlineStr"/>
      <c r="F106" s="6" t="inlineStr">
        <is>
          <t>Secondo criterio</t>
        </is>
      </c>
      <c r="G106" s="6" t="inlineStr">
        <is>
          <t>/Acquisti / F&amp;B/6.11</t>
        </is>
      </c>
      <c r="H106" s="6" t="inlineStr"/>
      <c r="I106" s="6" t="inlineStr"/>
      <c r="J106" s="6" t="inlineStr">
        <is>
          <t>DA VERIFICARE</t>
        </is>
      </c>
      <c r="K106" s="6" t="inlineStr"/>
      <c r="L106" s="6" t="inlineStr"/>
    </row>
    <row r="107">
      <c r="A107" s="6" t="inlineStr">
        <is>
          <t>E-6.12</t>
        </is>
      </c>
      <c r="B107" s="6" t="inlineStr">
        <is>
          <t>6.12</t>
        </is>
      </c>
      <c r="C107" s="6" t="inlineStr">
        <is>
          <t>Da definire sulla base della sezione 'Evidenze per l'audit' del criterio</t>
        </is>
      </c>
      <c r="D107" s="6" t="inlineStr">
        <is>
          <t>Vito Quarto – Executive Chef</t>
        </is>
      </c>
      <c r="E107" s="6" t="inlineStr"/>
      <c r="F107" s="6" t="inlineStr">
        <is>
          <t>Secondo criterio</t>
        </is>
      </c>
      <c r="G107" s="6" t="inlineStr">
        <is>
          <t>/Acquisti / F&amp;B/6.12</t>
        </is>
      </c>
      <c r="H107" s="6" t="inlineStr"/>
      <c r="I107" s="6" t="inlineStr"/>
      <c r="J107" s="6" t="inlineStr">
        <is>
          <t>DA VERIFICARE</t>
        </is>
      </c>
      <c r="K107" s="6" t="inlineStr"/>
      <c r="L107" s="6" t="inlineStr"/>
    </row>
    <row r="108">
      <c r="A108" s="6" t="inlineStr">
        <is>
          <t>E-6.13</t>
        </is>
      </c>
      <c r="B108" s="6" t="inlineStr">
        <is>
          <t>6.13</t>
        </is>
      </c>
      <c r="C108" s="6" t="inlineStr">
        <is>
          <t>Da definire sulla base della sezione 'Evidenze per l'audit' del criterio</t>
        </is>
      </c>
      <c r="D108" s="6" t="inlineStr">
        <is>
          <t>Vito Quarto – Executive Chef</t>
        </is>
      </c>
      <c r="E108" s="6" t="inlineStr"/>
      <c r="F108" s="6" t="inlineStr">
        <is>
          <t>Secondo criterio</t>
        </is>
      </c>
      <c r="G108" s="6" t="inlineStr">
        <is>
          <t>/Acquisti / F&amp;B/6.13</t>
        </is>
      </c>
      <c r="H108" s="6" t="inlineStr"/>
      <c r="I108" s="6" t="inlineStr"/>
      <c r="J108" s="6" t="inlineStr">
        <is>
          <t>DA VERIFICARE</t>
        </is>
      </c>
      <c r="K108" s="6" t="inlineStr"/>
      <c r="L108" s="6" t="inlineStr"/>
    </row>
    <row r="109">
      <c r="A109" s="6" t="inlineStr">
        <is>
          <t>E-6.14</t>
        </is>
      </c>
      <c r="B109" s="6" t="inlineStr">
        <is>
          <t>6.14</t>
        </is>
      </c>
      <c r="C109" s="6" t="inlineStr">
        <is>
          <t>Da definire sulla base della sezione 'Evidenze per l'audit' del criterio</t>
        </is>
      </c>
      <c r="D109" s="6" t="inlineStr">
        <is>
          <t>Vito Quarto – Executive Chef</t>
        </is>
      </c>
      <c r="E109" s="6" t="inlineStr"/>
      <c r="F109" s="6" t="inlineStr">
        <is>
          <t>Secondo criterio</t>
        </is>
      </c>
      <c r="G109" s="6" t="inlineStr">
        <is>
          <t>/Acquisti / F&amp;B/6.14</t>
        </is>
      </c>
      <c r="H109" s="6" t="inlineStr"/>
      <c r="I109" s="6" t="inlineStr"/>
      <c r="J109" s="6" t="inlineStr">
        <is>
          <t>DA VERIFICARE</t>
        </is>
      </c>
      <c r="K109" s="6" t="inlineStr"/>
      <c r="L109" s="6" t="inlineStr"/>
    </row>
    <row r="110">
      <c r="A110" s="6" t="inlineStr">
        <is>
          <t>E-6.15</t>
        </is>
      </c>
      <c r="B110" s="6" t="inlineStr">
        <is>
          <t>6.15</t>
        </is>
      </c>
      <c r="C110" s="6" t="inlineStr">
        <is>
          <t>Da definire sulla base della sezione 'Evidenze per l'audit' del criterio</t>
        </is>
      </c>
      <c r="D110" s="6" t="inlineStr">
        <is>
          <t>Vito Quarto – Executive Chef</t>
        </is>
      </c>
      <c r="E110" s="6" t="inlineStr"/>
      <c r="F110" s="6" t="inlineStr">
        <is>
          <t>Secondo criterio</t>
        </is>
      </c>
      <c r="G110" s="6" t="inlineStr">
        <is>
          <t>/Acquisti / F&amp;B/6.15</t>
        </is>
      </c>
      <c r="H110" s="6" t="inlineStr"/>
      <c r="I110" s="6" t="inlineStr"/>
      <c r="J110" s="6" t="inlineStr">
        <is>
          <t>DA VERIFICARE</t>
        </is>
      </c>
      <c r="K110" s="6" t="inlineStr"/>
      <c r="L110" s="6" t="inlineStr"/>
    </row>
    <row r="111">
      <c r="A111" s="6" t="inlineStr">
        <is>
          <t>E-6.16</t>
        </is>
      </c>
      <c r="B111" s="6" t="inlineStr">
        <is>
          <t>6.16</t>
        </is>
      </c>
      <c r="C111" s="6" t="inlineStr">
        <is>
          <t>Da definire sulla base della sezione 'Evidenze per l'audit' del criterio</t>
        </is>
      </c>
      <c r="D111" s="6" t="inlineStr">
        <is>
          <t>Vito Quarto – Executive Chef</t>
        </is>
      </c>
      <c r="E111" s="6" t="inlineStr"/>
      <c r="F111" s="6" t="inlineStr">
        <is>
          <t>Secondo criterio</t>
        </is>
      </c>
      <c r="G111" s="6" t="inlineStr">
        <is>
          <t>/Acquisti / F&amp;B/6.16</t>
        </is>
      </c>
      <c r="H111" s="6" t="inlineStr"/>
      <c r="I111" s="6" t="inlineStr"/>
      <c r="J111" s="6" t="inlineStr">
        <is>
          <t>DA VERIFICARE</t>
        </is>
      </c>
      <c r="K111" s="6" t="inlineStr"/>
      <c r="L111" s="6" t="inlineStr"/>
    </row>
    <row r="112">
      <c r="A112" s="6" t="inlineStr">
        <is>
          <t>E-6.17</t>
        </is>
      </c>
      <c r="B112" s="6" t="inlineStr">
        <is>
          <t>6.17</t>
        </is>
      </c>
      <c r="C112" s="6" t="inlineStr">
        <is>
          <t>Da definire sulla base della sezione 'Evidenze per l'audit' del criterio</t>
        </is>
      </c>
      <c r="D112" s="6" t="inlineStr">
        <is>
          <t>Vito Quarto – Executive Chef</t>
        </is>
      </c>
      <c r="E112" s="6" t="inlineStr"/>
      <c r="F112" s="6" t="inlineStr">
        <is>
          <t>Secondo criterio</t>
        </is>
      </c>
      <c r="G112" s="6" t="inlineStr">
        <is>
          <t>/Acquisti / F&amp;B/6.17</t>
        </is>
      </c>
      <c r="H112" s="6" t="inlineStr"/>
      <c r="I112" s="6" t="inlineStr"/>
      <c r="J112" s="6" t="inlineStr">
        <is>
          <t>DA VERIFICARE</t>
        </is>
      </c>
      <c r="K112" s="6" t="inlineStr"/>
      <c r="L112" s="6" t="inlineStr"/>
    </row>
    <row r="113">
      <c r="A113" s="6" t="inlineStr">
        <is>
          <t>E-6.18</t>
        </is>
      </c>
      <c r="B113" s="6" t="inlineStr">
        <is>
          <t>6.18</t>
        </is>
      </c>
      <c r="C113" s="6" t="inlineStr">
        <is>
          <t>Da definire sulla base della sezione 'Evidenze per l'audit' del criterio</t>
        </is>
      </c>
      <c r="D113" s="6" t="inlineStr">
        <is>
          <t>Vito Quarto – Executive Chef</t>
        </is>
      </c>
      <c r="E113" s="6" t="inlineStr"/>
      <c r="F113" s="6" t="inlineStr">
        <is>
          <t>Secondo criterio</t>
        </is>
      </c>
      <c r="G113" s="6" t="inlineStr">
        <is>
          <t>/Acquisti / F&amp;B/6.18</t>
        </is>
      </c>
      <c r="H113" s="6" t="inlineStr"/>
      <c r="I113" s="6" t="inlineStr"/>
      <c r="J113" s="6" t="inlineStr">
        <is>
          <t>DA VERIFICARE</t>
        </is>
      </c>
      <c r="K113" s="6" t="inlineStr"/>
      <c r="L113" s="6" t="inlineStr"/>
    </row>
    <row r="114">
      <c r="A114" s="6" t="inlineStr">
        <is>
          <t>E-6.19</t>
        </is>
      </c>
      <c r="B114" s="6" t="inlineStr">
        <is>
          <t>6.19</t>
        </is>
      </c>
      <c r="C114" s="6" t="inlineStr">
        <is>
          <t>Da definire sulla base della sezione 'Evidenze per l'audit' del criterio</t>
        </is>
      </c>
      <c r="D114" s="6" t="inlineStr">
        <is>
          <t>Vito Quarto – Executive Chef</t>
        </is>
      </c>
      <c r="E114" s="6" t="inlineStr"/>
      <c r="F114" s="6" t="inlineStr">
        <is>
          <t>Secondo criterio</t>
        </is>
      </c>
      <c r="G114" s="6" t="inlineStr">
        <is>
          <t>/Acquisti / F&amp;B/6.19</t>
        </is>
      </c>
      <c r="H114" s="6" t="inlineStr"/>
      <c r="I114" s="6" t="inlineStr"/>
      <c r="J114" s="6" t="inlineStr">
        <is>
          <t>DA VERIFICARE</t>
        </is>
      </c>
      <c r="K114" s="6" t="inlineStr"/>
      <c r="L114" s="6" t="inlineStr"/>
    </row>
    <row r="115">
      <c r="A115" s="6" t="inlineStr">
        <is>
          <t>E-6.20</t>
        </is>
      </c>
      <c r="B115" s="6" t="inlineStr">
        <is>
          <t>6.20</t>
        </is>
      </c>
      <c r="C115" s="6" t="inlineStr">
        <is>
          <t>Da definire sulla base della sezione 'Evidenze per l'audit' del criterio</t>
        </is>
      </c>
      <c r="D115" s="6" t="inlineStr">
        <is>
          <t>Vito Quarto – Executive Chef</t>
        </is>
      </c>
      <c r="E115" s="6" t="inlineStr"/>
      <c r="F115" s="6" t="inlineStr">
        <is>
          <t>Secondo criterio</t>
        </is>
      </c>
      <c r="G115" s="6" t="inlineStr">
        <is>
          <t>/Acquisti / F&amp;B/6.20</t>
        </is>
      </c>
      <c r="H115" s="6" t="inlineStr"/>
      <c r="I115" s="6" t="inlineStr"/>
      <c r="J115" s="6" t="inlineStr">
        <is>
          <t>DA VERIFICARE</t>
        </is>
      </c>
      <c r="K115" s="6" t="inlineStr"/>
      <c r="L115" s="6" t="inlineStr"/>
    </row>
    <row r="116">
      <c r="A116" s="6" t="inlineStr">
        <is>
          <t>E-6.21</t>
        </is>
      </c>
      <c r="B116" s="6" t="inlineStr">
        <is>
          <t>6.21</t>
        </is>
      </c>
      <c r="C116" s="6" t="inlineStr">
        <is>
          <t>Da definire sulla base della sezione 'Evidenze per l'audit' del criterio</t>
        </is>
      </c>
      <c r="D116" s="6" t="inlineStr">
        <is>
          <t>Alessandra Ferrara – Operations / Maintenance</t>
        </is>
      </c>
      <c r="E116" s="6" t="inlineStr"/>
      <c r="F116" s="6" t="inlineStr">
        <is>
          <t>Secondo criterio</t>
        </is>
      </c>
      <c r="G116" s="6" t="inlineStr">
        <is>
          <t>/Acquisti / F&amp;B/6.21</t>
        </is>
      </c>
      <c r="H116" s="6" t="inlineStr"/>
      <c r="I116" s="6" t="inlineStr"/>
      <c r="J116" s="6" t="inlineStr">
        <is>
          <t>DA VERIFICARE</t>
        </is>
      </c>
      <c r="K116" s="6" t="inlineStr"/>
      <c r="L116" s="6" t="inlineStr"/>
    </row>
    <row r="117">
      <c r="A117" s="6" t="inlineStr">
        <is>
          <t>E-6.22</t>
        </is>
      </c>
      <c r="B117" s="6" t="inlineStr">
        <is>
          <t>6.22</t>
        </is>
      </c>
      <c r="C117" s="6" t="inlineStr">
        <is>
          <t>Da definire sulla base della sezione 'Evidenze per l'audit' del criterio</t>
        </is>
      </c>
      <c r="D117" s="6" t="inlineStr">
        <is>
          <t>Georgiana Radescu – Housekeeping</t>
        </is>
      </c>
      <c r="E117" s="6" t="inlineStr"/>
      <c r="F117" s="6" t="inlineStr">
        <is>
          <t>Secondo criterio</t>
        </is>
      </c>
      <c r="G117" s="6" t="inlineStr">
        <is>
          <t>/Acquisti / F&amp;B/6.22</t>
        </is>
      </c>
      <c r="H117" s="6" t="inlineStr"/>
      <c r="I117" s="6" t="inlineStr"/>
      <c r="J117" s="6" t="inlineStr">
        <is>
          <t>DA VERIFICARE</t>
        </is>
      </c>
      <c r="K117" s="6" t="inlineStr"/>
      <c r="L117" s="6" t="inlineStr"/>
    </row>
    <row r="118">
      <c r="A118" s="6" t="inlineStr">
        <is>
          <t>E-6.23</t>
        </is>
      </c>
      <c r="B118" s="6" t="inlineStr">
        <is>
          <t>6.23</t>
        </is>
      </c>
      <c r="C118" s="6" t="inlineStr">
        <is>
          <t>Da definire sulla base della sezione 'Evidenze per l'audit' del criterio</t>
        </is>
      </c>
      <c r="D118" s="6" t="inlineStr">
        <is>
          <t>Vito Quarto – Executive Chef</t>
        </is>
      </c>
      <c r="E118" s="6" t="inlineStr"/>
      <c r="F118" s="6" t="inlineStr">
        <is>
          <t>Secondo criterio</t>
        </is>
      </c>
      <c r="G118" s="6" t="inlineStr">
        <is>
          <t>/Acquisti / F&amp;B/6.23</t>
        </is>
      </c>
      <c r="H118" s="6" t="inlineStr"/>
      <c r="I118" s="6" t="inlineStr"/>
      <c r="J118" s="6" t="inlineStr">
        <is>
          <t>DA VERIFICARE</t>
        </is>
      </c>
      <c r="K118" s="6" t="inlineStr"/>
      <c r="L118" s="6" t="inlineStr"/>
    </row>
    <row r="119">
      <c r="A119" s="6" t="inlineStr">
        <is>
          <t>E-6.24</t>
        </is>
      </c>
      <c r="B119" s="6" t="inlineStr">
        <is>
          <t>6.24</t>
        </is>
      </c>
      <c r="C119" s="6" t="inlineStr">
        <is>
          <t>Da definire sulla base della sezione 'Evidenze per l'audit' del criterio</t>
        </is>
      </c>
      <c r="D119" s="6" t="inlineStr">
        <is>
          <t>Georgiana Radescu – Housekeeping</t>
        </is>
      </c>
      <c r="E119" s="6" t="inlineStr"/>
      <c r="F119" s="6" t="inlineStr">
        <is>
          <t>Secondo criterio</t>
        </is>
      </c>
      <c r="G119" s="6" t="inlineStr">
        <is>
          <t>/Acquisti / F&amp;B/6.24</t>
        </is>
      </c>
      <c r="H119" s="6" t="inlineStr"/>
      <c r="I119" s="6" t="inlineStr"/>
      <c r="J119" s="6" t="inlineStr">
        <is>
          <t>DA VERIFICARE</t>
        </is>
      </c>
      <c r="K119" s="6" t="inlineStr"/>
      <c r="L119" s="6" t="inlineStr"/>
    </row>
    <row r="120">
      <c r="A120" s="6" t="inlineStr">
        <is>
          <t>E-6.25</t>
        </is>
      </c>
      <c r="B120" s="6" t="inlineStr">
        <is>
          <t>6.25</t>
        </is>
      </c>
      <c r="C120" s="6" t="inlineStr">
        <is>
          <t>Da definire sulla base della sezione 'Evidenze per l'audit' del criterio</t>
        </is>
      </c>
      <c r="D120" s="6" t="inlineStr">
        <is>
          <t>Vito Quarto – Executive Chef</t>
        </is>
      </c>
      <c r="E120" s="6" t="inlineStr"/>
      <c r="F120" s="6" t="inlineStr">
        <is>
          <t>Secondo criterio</t>
        </is>
      </c>
      <c r="G120" s="6" t="inlineStr">
        <is>
          <t>/Acquisti / F&amp;B/6.25</t>
        </is>
      </c>
      <c r="H120" s="6" t="inlineStr"/>
      <c r="I120" s="6" t="inlineStr"/>
      <c r="J120" s="6" t="inlineStr">
        <is>
          <t>DA VERIFICARE</t>
        </is>
      </c>
      <c r="K120" s="6" t="inlineStr"/>
      <c r="L120" s="6" t="inlineStr"/>
    </row>
    <row r="121">
      <c r="A121" s="6" t="inlineStr">
        <is>
          <t>E-6.26</t>
        </is>
      </c>
      <c r="B121" s="6" t="inlineStr">
        <is>
          <t>6.26</t>
        </is>
      </c>
      <c r="C121" s="6" t="inlineStr">
        <is>
          <t>Da definire sulla base della sezione 'Evidenze per l'audit' del criterio</t>
        </is>
      </c>
      <c r="D121" s="6" t="inlineStr">
        <is>
          <t>Georgiana Radescu – Housekeeping</t>
        </is>
      </c>
      <c r="E121" s="6" t="inlineStr"/>
      <c r="F121" s="6" t="inlineStr">
        <is>
          <t>Secondo criterio</t>
        </is>
      </c>
      <c r="G121" s="6" t="inlineStr">
        <is>
          <t>/Acquisti / F&amp;B/6.26</t>
        </is>
      </c>
      <c r="H121" s="6" t="inlineStr"/>
      <c r="I121" s="6" t="inlineStr"/>
      <c r="J121" s="6" t="inlineStr">
        <is>
          <t>DA VERIFICARE</t>
        </is>
      </c>
      <c r="K121" s="6" t="inlineStr"/>
      <c r="L121" s="6" t="inlineStr"/>
    </row>
    <row r="122">
      <c r="A122" s="6" t="inlineStr">
        <is>
          <t>E-6.27</t>
        </is>
      </c>
      <c r="B122" s="6" t="inlineStr">
        <is>
          <t>6.27</t>
        </is>
      </c>
      <c r="C122" s="6" t="inlineStr">
        <is>
          <t>Da definire sulla base della sezione 'Evidenze per l'audit' del criterio</t>
        </is>
      </c>
      <c r="D122" s="6" t="inlineStr">
        <is>
          <t>Georgiana Radescu – Housekeeping</t>
        </is>
      </c>
      <c r="E122" s="6" t="inlineStr"/>
      <c r="F122" s="6" t="inlineStr">
        <is>
          <t>Secondo criterio</t>
        </is>
      </c>
      <c r="G122" s="6" t="inlineStr">
        <is>
          <t>/Acquisti / F&amp;B/6.27</t>
        </is>
      </c>
      <c r="H122" s="6" t="inlineStr"/>
      <c r="I122" s="6" t="inlineStr"/>
      <c r="J122" s="6" t="inlineStr">
        <is>
          <t>DA VERIFICARE</t>
        </is>
      </c>
      <c r="K122" s="6" t="inlineStr"/>
      <c r="L122" s="6" t="inlineStr"/>
    </row>
    <row r="123">
      <c r="A123" s="6" t="inlineStr">
        <is>
          <t>E-6.28</t>
        </is>
      </c>
      <c r="B123" s="6" t="inlineStr">
        <is>
          <t>6.28</t>
        </is>
      </c>
      <c r="C123" s="6" t="inlineStr">
        <is>
          <t>Da definire sulla base della sezione 'Evidenze per l'audit' del criterio</t>
        </is>
      </c>
      <c r="D123" s="6" t="inlineStr">
        <is>
          <t>Georgiana Radescu – Housekeeping</t>
        </is>
      </c>
      <c r="E123" s="6" t="inlineStr"/>
      <c r="F123" s="6" t="inlineStr">
        <is>
          <t>Secondo criterio</t>
        </is>
      </c>
      <c r="G123" s="6" t="inlineStr">
        <is>
          <t>/Acquisti / F&amp;B/6.28</t>
        </is>
      </c>
      <c r="H123" s="6" t="inlineStr"/>
      <c r="I123" s="6" t="inlineStr"/>
      <c r="J123" s="6" t="inlineStr">
        <is>
          <t>DA VERIFICARE</t>
        </is>
      </c>
      <c r="K123" s="6" t="inlineStr"/>
      <c r="L123" s="6" t="inlineStr"/>
    </row>
    <row r="124">
      <c r="A124" s="6" t="inlineStr">
        <is>
          <t>E-6.29</t>
        </is>
      </c>
      <c r="B124" s="6" t="inlineStr">
        <is>
          <t>6.29</t>
        </is>
      </c>
      <c r="C124" s="6" t="inlineStr">
        <is>
          <t>Da definire sulla base della sezione 'Evidenze per l'audit' del criterio</t>
        </is>
      </c>
      <c r="D124" s="6" t="inlineStr">
        <is>
          <t>Georgiana Radescu – Housekeeping</t>
        </is>
      </c>
      <c r="E124" s="6" t="inlineStr"/>
      <c r="F124" s="6" t="inlineStr">
        <is>
          <t>Secondo criterio</t>
        </is>
      </c>
      <c r="G124" s="6" t="inlineStr">
        <is>
          <t>/Acquisti / F&amp;B/6.29</t>
        </is>
      </c>
      <c r="H124" s="6" t="inlineStr"/>
      <c r="I124" s="6" t="inlineStr"/>
      <c r="J124" s="6" t="inlineStr">
        <is>
          <t>DA VERIFICARE</t>
        </is>
      </c>
      <c r="K124" s="6" t="inlineStr"/>
      <c r="L124" s="6" t="inlineStr"/>
    </row>
    <row r="125">
      <c r="A125" s="6" t="inlineStr">
        <is>
          <t>E-6.30</t>
        </is>
      </c>
      <c r="B125" s="6" t="inlineStr">
        <is>
          <t>6.30</t>
        </is>
      </c>
      <c r="C125" s="6" t="inlineStr">
        <is>
          <t>Da definire sulla base della sezione 'Evidenze per l'audit' del criterio</t>
        </is>
      </c>
      <c r="D125" s="6" t="inlineStr">
        <is>
          <t>Georgiana Radescu – Housekeeping</t>
        </is>
      </c>
      <c r="E125" s="6" t="inlineStr"/>
      <c r="F125" s="6" t="inlineStr">
        <is>
          <t>Secondo criterio</t>
        </is>
      </c>
      <c r="G125" s="6" t="inlineStr">
        <is>
          <t>/Acquisti / F&amp;B/6.30</t>
        </is>
      </c>
      <c r="H125" s="6" t="inlineStr"/>
      <c r="I125" s="6" t="inlineStr"/>
      <c r="J125" s="6" t="inlineStr">
        <is>
          <t>DA VERIFICARE</t>
        </is>
      </c>
      <c r="K125" s="6" t="inlineStr"/>
      <c r="L125" s="6" t="inlineStr"/>
    </row>
    <row r="126">
      <c r="A126" s="6" t="inlineStr">
        <is>
          <t>E-6.31</t>
        </is>
      </c>
      <c r="B126" s="6" t="inlineStr">
        <is>
          <t>6.31</t>
        </is>
      </c>
      <c r="C126" s="6" t="inlineStr">
        <is>
          <t>Da definire sulla base della sezione 'Evidenze per l'audit' del criterio</t>
        </is>
      </c>
      <c r="D126" s="6" t="inlineStr">
        <is>
          <t>Georgiana Radescu – Housekeeping</t>
        </is>
      </c>
      <c r="E126" s="6" t="inlineStr"/>
      <c r="F126" s="6" t="inlineStr">
        <is>
          <t>Secondo criterio</t>
        </is>
      </c>
      <c r="G126" s="6" t="inlineStr">
        <is>
          <t>/Acquisti / F&amp;B/6.31</t>
        </is>
      </c>
      <c r="H126" s="6" t="inlineStr"/>
      <c r="I126" s="6" t="inlineStr"/>
      <c r="J126" s="6" t="inlineStr">
        <is>
          <t>DA VERIFICARE</t>
        </is>
      </c>
      <c r="K126" s="6" t="inlineStr"/>
      <c r="L126" s="6" t="inlineStr"/>
    </row>
    <row r="127">
      <c r="A127" s="6" t="inlineStr">
        <is>
          <t>E-7.1</t>
        </is>
      </c>
      <c r="B127" s="6" t="inlineStr">
        <is>
          <t>7.1</t>
        </is>
      </c>
      <c r="C127" s="6" t="inlineStr">
        <is>
          <t>Da definire sulla base della sezione 'Evidenze per l'audit' del criterio</t>
        </is>
      </c>
      <c r="D127" s="6" t="inlineStr">
        <is>
          <t>Jonathan Pezzino – Green Key / Green Team</t>
        </is>
      </c>
      <c r="E127" s="6" t="inlineStr"/>
      <c r="F127" s="6" t="inlineStr">
        <is>
          <t>Secondo criterio</t>
        </is>
      </c>
      <c r="G127" s="6" t="inlineStr">
        <is>
          <t>/Ambiente di vita/7.1</t>
        </is>
      </c>
      <c r="H127" s="6" t="inlineStr"/>
      <c r="I127" s="6" t="inlineStr"/>
      <c r="J127" s="6" t="inlineStr">
        <is>
          <t>DA VERIFICARE</t>
        </is>
      </c>
      <c r="K127" s="6" t="inlineStr"/>
      <c r="L127" s="6" t="inlineStr"/>
    </row>
    <row r="128">
      <c r="A128" s="6" t="inlineStr">
        <is>
          <t>E-7.2</t>
        </is>
      </c>
      <c r="B128" s="6" t="inlineStr">
        <is>
          <t>7.2</t>
        </is>
      </c>
      <c r="C128" s="6" t="inlineStr">
        <is>
          <t>Da definire sulla base della sezione 'Evidenze per l'audit' del criterio</t>
        </is>
      </c>
      <c r="D128" s="6" t="inlineStr">
        <is>
          <t>Jonathan Pezzino – Green Key / Green Team</t>
        </is>
      </c>
      <c r="E128" s="6" t="inlineStr"/>
      <c r="F128" s="6" t="inlineStr">
        <is>
          <t>Secondo criterio</t>
        </is>
      </c>
      <c r="G128" s="6" t="inlineStr">
        <is>
          <t>/Ambiente di vita/7.2</t>
        </is>
      </c>
      <c r="H128" s="6" t="inlineStr"/>
      <c r="I128" s="6" t="inlineStr"/>
      <c r="J128" s="6" t="inlineStr">
        <is>
          <t>DA VERIFICARE</t>
        </is>
      </c>
      <c r="K128" s="6" t="inlineStr"/>
      <c r="L128" s="6" t="inlineStr"/>
    </row>
    <row r="129">
      <c r="A129" s="6" t="inlineStr">
        <is>
          <t>E-7.3</t>
        </is>
      </c>
      <c r="B129" s="6" t="inlineStr">
        <is>
          <t>7.3</t>
        </is>
      </c>
      <c r="C129" s="6" t="inlineStr">
        <is>
          <t>Da definire sulla base della sezione 'Evidenze per l'audit' del criterio</t>
        </is>
      </c>
      <c r="D129" s="6" t="inlineStr">
        <is>
          <t>Jonathan Pezzino – Green Key / Green Team</t>
        </is>
      </c>
      <c r="E129" s="6" t="inlineStr"/>
      <c r="F129" s="6" t="inlineStr">
        <is>
          <t>Secondo criterio</t>
        </is>
      </c>
      <c r="G129" s="6" t="inlineStr">
        <is>
          <t>/Ambiente di vita/7.3</t>
        </is>
      </c>
      <c r="H129" s="6" t="inlineStr"/>
      <c r="I129" s="6" t="inlineStr"/>
      <c r="J129" s="6" t="inlineStr">
        <is>
          <t>DA VERIFICARE</t>
        </is>
      </c>
      <c r="K129" s="6" t="inlineStr"/>
      <c r="L129" s="6" t="inlineStr"/>
    </row>
    <row r="130">
      <c r="A130" s="6" t="inlineStr">
        <is>
          <t>E-7.4</t>
        </is>
      </c>
      <c r="B130" s="6" t="inlineStr">
        <is>
          <t>7.4</t>
        </is>
      </c>
      <c r="C130" s="6" t="inlineStr">
        <is>
          <t>Da definire sulla base della sezione 'Evidenze per l'audit' del criterio</t>
        </is>
      </c>
      <c r="D130" s="6" t="inlineStr">
        <is>
          <t>Jonathan Pezzino – Green Key / Green Team</t>
        </is>
      </c>
      <c r="E130" s="6" t="inlineStr"/>
      <c r="F130" s="6" t="inlineStr">
        <is>
          <t>Secondo criterio</t>
        </is>
      </c>
      <c r="G130" s="6" t="inlineStr">
        <is>
          <t>/Ambiente di vita/7.4</t>
        </is>
      </c>
      <c r="H130" s="6" t="inlineStr"/>
      <c r="I130" s="6" t="inlineStr"/>
      <c r="J130" s="6" t="inlineStr">
        <is>
          <t>DA VERIFICARE</t>
        </is>
      </c>
      <c r="K130" s="6" t="inlineStr"/>
      <c r="L130" s="6" t="inlineStr"/>
    </row>
    <row r="131">
      <c r="A131" s="6" t="inlineStr">
        <is>
          <t>E-7.5</t>
        </is>
      </c>
      <c r="B131" s="6" t="inlineStr">
        <is>
          <t>7.5</t>
        </is>
      </c>
      <c r="C131" s="6" t="inlineStr">
        <is>
          <t>Da definire sulla base della sezione 'Evidenze per l'audit' del criterio</t>
        </is>
      </c>
      <c r="D131" s="6" t="inlineStr">
        <is>
          <t>Jonathan Pezzino – Green Key / Green Team</t>
        </is>
      </c>
      <c r="E131" s="6" t="inlineStr"/>
      <c r="F131" s="6" t="inlineStr">
        <is>
          <t>Secondo criterio</t>
        </is>
      </c>
      <c r="G131" s="6" t="inlineStr">
        <is>
          <t>/Ambiente di vita/7.5</t>
        </is>
      </c>
      <c r="H131" s="6" t="inlineStr"/>
      <c r="I131" s="6" t="inlineStr"/>
      <c r="J131" s="6" t="inlineStr">
        <is>
          <t>DA VERIFICARE</t>
        </is>
      </c>
      <c r="K131" s="6" t="inlineStr"/>
      <c r="L131" s="6" t="inlineStr"/>
    </row>
    <row r="132">
      <c r="A132" s="6" t="inlineStr">
        <is>
          <t>E-7.6</t>
        </is>
      </c>
      <c r="B132" s="6" t="inlineStr">
        <is>
          <t>7.6</t>
        </is>
      </c>
      <c r="C132" s="6" t="inlineStr">
        <is>
          <t>Da definire sulla base della sezione 'Evidenze per l'audit' del criterio</t>
        </is>
      </c>
      <c r="D132" s="6" t="inlineStr">
        <is>
          <t>Jonathan Pezzino – Green Key / Green Team</t>
        </is>
      </c>
      <c r="E132" s="6" t="inlineStr"/>
      <c r="F132" s="6" t="inlineStr">
        <is>
          <t>Secondo criterio</t>
        </is>
      </c>
      <c r="G132" s="6" t="inlineStr">
        <is>
          <t>/Ambiente di vita/7.6</t>
        </is>
      </c>
      <c r="H132" s="6" t="inlineStr"/>
      <c r="I132" s="6" t="inlineStr"/>
      <c r="J132" s="6" t="inlineStr">
        <is>
          <t>DA VERIFICARE</t>
        </is>
      </c>
      <c r="K132" s="6" t="inlineStr"/>
      <c r="L132" s="6" t="inlineStr"/>
    </row>
    <row r="133">
      <c r="A133" s="6" t="inlineStr">
        <is>
          <t>E-7.7</t>
        </is>
      </c>
      <c r="B133" s="6" t="inlineStr">
        <is>
          <t>7.7</t>
        </is>
      </c>
      <c r="C133" s="6" t="inlineStr">
        <is>
          <t>Da definire sulla base della sezione 'Evidenze per l'audit' del criterio</t>
        </is>
      </c>
      <c r="D133" s="6" t="inlineStr">
        <is>
          <t>Jonathan Pezzino – Green Key / Green Team</t>
        </is>
      </c>
      <c r="E133" s="6" t="inlineStr"/>
      <c r="F133" s="6" t="inlineStr">
        <is>
          <t>Secondo criterio</t>
        </is>
      </c>
      <c r="G133" s="6" t="inlineStr">
        <is>
          <t>/Ambiente di vita/7.7</t>
        </is>
      </c>
      <c r="H133" s="6" t="inlineStr"/>
      <c r="I133" s="6" t="inlineStr"/>
      <c r="J133" s="6" t="inlineStr">
        <is>
          <t>DA VERIFICARE</t>
        </is>
      </c>
      <c r="K133" s="6" t="inlineStr"/>
      <c r="L133" s="6" t="inlineStr"/>
    </row>
    <row r="134">
      <c r="A134" s="6" t="inlineStr">
        <is>
          <t>E-7.8</t>
        </is>
      </c>
      <c r="B134" s="6" t="inlineStr">
        <is>
          <t>7.8</t>
        </is>
      </c>
      <c r="C134" s="6" t="inlineStr">
        <is>
          <t>Da definire sulla base della sezione 'Evidenze per l'audit' del criterio</t>
        </is>
      </c>
      <c r="D134" s="6" t="inlineStr">
        <is>
          <t>Jonathan Pezzino – Green Key / Green Team</t>
        </is>
      </c>
      <c r="E134" s="6" t="inlineStr"/>
      <c r="F134" s="6" t="inlineStr">
        <is>
          <t>Secondo criterio</t>
        </is>
      </c>
      <c r="G134" s="6" t="inlineStr">
        <is>
          <t>/Ambiente di vita/7.8</t>
        </is>
      </c>
      <c r="H134" s="6" t="inlineStr"/>
      <c r="I134" s="6" t="inlineStr"/>
      <c r="J134" s="6" t="inlineStr">
        <is>
          <t>DA VERIFICARE</t>
        </is>
      </c>
      <c r="K134" s="6" t="inlineStr"/>
      <c r="L134" s="6" t="inlineStr"/>
    </row>
    <row r="135">
      <c r="A135" s="6" t="inlineStr">
        <is>
          <t>E-7.9</t>
        </is>
      </c>
      <c r="B135" s="6" t="inlineStr">
        <is>
          <t>7.9</t>
        </is>
      </c>
      <c r="C135" s="6" t="inlineStr">
        <is>
          <t>Da definire sulla base della sezione 'Evidenze per l'audit' del criterio</t>
        </is>
      </c>
      <c r="D135" s="6" t="inlineStr">
        <is>
          <t>Jonathan Pezzino – Green Key / Green Team</t>
        </is>
      </c>
      <c r="E135" s="6" t="inlineStr"/>
      <c r="F135" s="6" t="inlineStr">
        <is>
          <t>Secondo criterio</t>
        </is>
      </c>
      <c r="G135" s="6" t="inlineStr">
        <is>
          <t>/Ambiente di vita/7.9</t>
        </is>
      </c>
      <c r="H135" s="6" t="inlineStr"/>
      <c r="I135" s="6" t="inlineStr"/>
      <c r="J135" s="6" t="inlineStr">
        <is>
          <t>DA VERIFICARE</t>
        </is>
      </c>
      <c r="K135" s="6" t="inlineStr"/>
      <c r="L135" s="6" t="inlineStr"/>
    </row>
    <row r="136">
      <c r="A136" s="6" t="inlineStr">
        <is>
          <t>E-7.10</t>
        </is>
      </c>
      <c r="B136" s="6" t="inlineStr">
        <is>
          <t>7.10</t>
        </is>
      </c>
      <c r="C136" s="6" t="inlineStr">
        <is>
          <t>Da definire sulla base della sezione 'Evidenze per l'audit' del criterio</t>
        </is>
      </c>
      <c r="D136" s="6" t="inlineStr">
        <is>
          <t>Jonathan Pezzino – Green Key / Green Team</t>
        </is>
      </c>
      <c r="E136" s="6" t="inlineStr"/>
      <c r="F136" s="6" t="inlineStr">
        <is>
          <t>Secondo criterio</t>
        </is>
      </c>
      <c r="G136" s="6" t="inlineStr">
        <is>
          <t>/Ambiente di vita/7.10</t>
        </is>
      </c>
      <c r="H136" s="6" t="inlineStr"/>
      <c r="I136" s="6" t="inlineStr"/>
      <c r="J136" s="6" t="inlineStr">
        <is>
          <t>DA VERIFICARE</t>
        </is>
      </c>
      <c r="K136" s="6" t="inlineStr"/>
      <c r="L136" s="6" t="inlineStr"/>
    </row>
    <row r="137">
      <c r="A137" s="6" t="inlineStr">
        <is>
          <t>E-7.11</t>
        </is>
      </c>
      <c r="B137" s="6" t="inlineStr">
        <is>
          <t>7.11</t>
        </is>
      </c>
      <c r="C137" s="6" t="inlineStr">
        <is>
          <t>Da definire sulla base della sezione 'Evidenze per l'audit' del criterio</t>
        </is>
      </c>
      <c r="D137" s="6" t="inlineStr">
        <is>
          <t>Jonathan Pezzino – Green Key / Green Team</t>
        </is>
      </c>
      <c r="E137" s="6" t="inlineStr"/>
      <c r="F137" s="6" t="inlineStr">
        <is>
          <t>Secondo criterio</t>
        </is>
      </c>
      <c r="G137" s="6" t="inlineStr">
        <is>
          <t>/Ambiente di vita/7.11</t>
        </is>
      </c>
      <c r="H137" s="6" t="inlineStr"/>
      <c r="I137" s="6" t="inlineStr"/>
      <c r="J137" s="6" t="inlineStr">
        <is>
          <t>DA VERIFICARE</t>
        </is>
      </c>
      <c r="K137" s="6" t="inlineStr"/>
      <c r="L137" s="6" t="inlineStr"/>
    </row>
    <row r="138">
      <c r="A138" s="6" t="inlineStr">
        <is>
          <t>E-7.12</t>
        </is>
      </c>
      <c r="B138" s="6" t="inlineStr">
        <is>
          <t>7.12</t>
        </is>
      </c>
      <c r="C138" s="6" t="inlineStr">
        <is>
          <t>Da definire sulla base della sezione 'Evidenze per l'audit' del criterio</t>
        </is>
      </c>
      <c r="D138" s="6" t="inlineStr">
        <is>
          <t>Jonathan Pezzino – Green Key</t>
        </is>
      </c>
      <c r="E138" s="6" t="inlineStr"/>
      <c r="F138" s="6" t="inlineStr">
        <is>
          <t>Secondo criterio</t>
        </is>
      </c>
      <c r="G138" s="6" t="inlineStr">
        <is>
          <t>/Ambiente di vita/7.12</t>
        </is>
      </c>
      <c r="H138" s="6" t="inlineStr"/>
      <c r="I138" s="6" t="inlineStr"/>
      <c r="J138" s="6" t="inlineStr">
        <is>
          <t>DA VERIFICARE</t>
        </is>
      </c>
      <c r="K138" s="6" t="inlineStr"/>
      <c r="L138" s="6" t="inlineStr"/>
    </row>
    <row r="139">
      <c r="A139" s="6" t="inlineStr">
        <is>
          <t>E-7.13</t>
        </is>
      </c>
      <c r="B139" s="6" t="inlineStr">
        <is>
          <t>7.13</t>
        </is>
      </c>
      <c r="C139" s="6" t="inlineStr">
        <is>
          <t>Da definire sulla base della sezione 'Evidenze per l'audit' del criterio</t>
        </is>
      </c>
      <c r="D139" s="6" t="inlineStr">
        <is>
          <t>Jonathan Pezzino – Green Key</t>
        </is>
      </c>
      <c r="E139" s="6" t="inlineStr"/>
      <c r="F139" s="6" t="inlineStr">
        <is>
          <t>Secondo criterio</t>
        </is>
      </c>
      <c r="G139" s="6" t="inlineStr">
        <is>
          <t>/Ambiente di vita/7.13</t>
        </is>
      </c>
      <c r="H139" s="6" t="inlineStr"/>
      <c r="I139" s="6" t="inlineStr"/>
      <c r="J139" s="6" t="inlineStr">
        <is>
          <t>DA VERIFICARE</t>
        </is>
      </c>
      <c r="K139" s="6" t="inlineStr"/>
      <c r="L139" s="6" t="inlineStr"/>
    </row>
    <row r="140">
      <c r="A140" s="6" t="inlineStr">
        <is>
          <t>E-7.14</t>
        </is>
      </c>
      <c r="B140" s="6" t="inlineStr">
        <is>
          <t>7.14</t>
        </is>
      </c>
      <c r="C140" s="6" t="inlineStr">
        <is>
          <t>Da definire sulla base della sezione 'Evidenze per l'audit' del criterio</t>
        </is>
      </c>
      <c r="D140" s="6" t="inlineStr">
        <is>
          <t>Vito Quarto – Executive Chef</t>
        </is>
      </c>
      <c r="E140" s="6" t="inlineStr"/>
      <c r="F140" s="6" t="inlineStr">
        <is>
          <t>Secondo criterio</t>
        </is>
      </c>
      <c r="G140" s="6" t="inlineStr">
        <is>
          <t>/Ambiente di vita/7.14</t>
        </is>
      </c>
      <c r="H140" s="6" t="inlineStr"/>
      <c r="I140" s="6" t="inlineStr"/>
      <c r="J140" s="6" t="inlineStr">
        <is>
          <t>DA VERIFICARE</t>
        </is>
      </c>
      <c r="K140" s="6" t="inlineStr"/>
      <c r="L140" s="6" t="inlineStr"/>
    </row>
  </sheetData>
  <dataValidations count="1">
    <dataValidation sqref="J2:J140" showDropDown="0" showInputMessage="0" showErrorMessage="0" allowBlank="0" type="list">
      <formula1>"DA VERIFICARE,IN CORSO,COMPLETATO,CRITICO / NON CONFORME"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
  <sheetViews>
    <sheetView showGridLines="0" workbookViewId="0">
      <pane ySplit="1" topLeftCell="A2" activePane="bottomLeft" state="frozen"/>
      <selection pane="bottomLeft" activeCell="A1" sqref="A1"/>
    </sheetView>
  </sheetViews>
  <sheetFormatPr baseColWidth="8" defaultRowHeight="15"/>
  <cols>
    <col width="10" customWidth="1" min="1" max="1"/>
    <col width="55" customWidth="1" min="2" max="2"/>
    <col width="24" customWidth="1" min="3" max="3"/>
    <col width="18" customWidth="1" min="4" max="4"/>
    <col width="28" customWidth="1" min="5" max="5"/>
    <col width="35" customWidth="1" min="6" max="6"/>
    <col width="15" customWidth="1" min="7" max="7"/>
    <col width="15" customWidth="1" min="8" max="8"/>
    <col width="35" customWidth="1" min="9" max="9"/>
    <col width="14" customWidth="1" min="10" max="10"/>
    <col width="22" customWidth="1" min="11" max="11"/>
    <col width="35" customWidth="1" min="12" max="12"/>
  </cols>
  <sheetData>
    <row r="1">
      <c r="A1" s="4" t="inlineStr">
        <is>
          <t>ID</t>
        </is>
      </c>
      <c r="B1" s="4" t="inlineStr">
        <is>
          <t>Azione</t>
        </is>
      </c>
      <c r="C1" s="4" t="inlineStr">
        <is>
          <t>Obiettivo strategico collegato</t>
        </is>
      </c>
      <c r="D1" s="4" t="inlineStr">
        <is>
          <t>Criteri</t>
        </is>
      </c>
      <c r="E1" s="4" t="inlineStr">
        <is>
          <t>Owner</t>
        </is>
      </c>
      <c r="F1" s="4" t="inlineStr">
        <is>
          <t>Reparti</t>
        </is>
      </c>
      <c r="G1" s="4" t="inlineStr">
        <is>
          <t>Start</t>
        </is>
      </c>
      <c r="H1" s="4" t="inlineStr">
        <is>
          <t>Deadline</t>
        </is>
      </c>
      <c r="I1" s="4" t="inlineStr">
        <is>
          <t>KPI</t>
        </is>
      </c>
      <c r="J1" s="4" t="inlineStr">
        <is>
          <t>Priorità</t>
        </is>
      </c>
      <c r="K1" s="4" t="inlineStr">
        <is>
          <t>Status</t>
        </is>
      </c>
      <c r="L1" s="4" t="inlineStr">
        <is>
          <t>Evidenza finale</t>
        </is>
      </c>
    </row>
    <row r="2">
      <c r="A2" s="6" t="inlineStr">
        <is>
          <t>A01</t>
        </is>
      </c>
      <c r="B2" s="6" t="inlineStr">
        <is>
          <t>Definire 4 obiettivi strategici se &gt;50 dipendenti / 2 se &lt;50, con baseline e KPI</t>
        </is>
      </c>
      <c r="C2" s="6" t="inlineStr">
        <is>
          <t>OBJ-01…</t>
        </is>
      </c>
      <c r="D2" s="6" t="inlineStr">
        <is>
          <t>1.2</t>
        </is>
      </c>
      <c r="E2" s="6" t="inlineStr">
        <is>
          <t>Jonathan + Massimo</t>
        </is>
      </c>
      <c r="F2" s="6" t="inlineStr">
        <is>
          <t>Direzione + Green Team</t>
        </is>
      </c>
      <c r="G2" s="6" t="inlineStr">
        <is>
          <t>09/2026</t>
        </is>
      </c>
      <c r="H2" s="6" t="inlineStr">
        <is>
          <t>09/2026</t>
        </is>
      </c>
      <c r="I2" s="6" t="inlineStr">
        <is>
          <t>Obiettivi approvati e comunicati</t>
        </is>
      </c>
      <c r="J2" s="6" t="inlineStr">
        <is>
          <t>CRITICA</t>
        </is>
      </c>
      <c r="K2" s="6" t="inlineStr">
        <is>
          <t>DA VERIFICARE</t>
        </is>
      </c>
      <c r="L2" s="6" t="inlineStr">
        <is>
          <t>Documento firmato</t>
        </is>
      </c>
    </row>
    <row r="3">
      <c r="A3" s="6" t="inlineStr">
        <is>
          <t>A02</t>
        </is>
      </c>
      <c r="B3" s="6" t="inlineStr">
        <is>
          <t>Costruire Action Plan 24 mesi con azioni misurabili e follow-up trimestrale</t>
        </is>
      </c>
      <c r="C3" s="6" t="inlineStr">
        <is>
          <t>OBJ-01…</t>
        </is>
      </c>
      <c r="D3" s="6" t="inlineStr">
        <is>
          <t>1.3</t>
        </is>
      </c>
      <c r="E3" s="6" t="inlineStr">
        <is>
          <t>Jonathan</t>
        </is>
      </c>
      <c r="F3" s="6" t="inlineStr">
        <is>
          <t>Tutti</t>
        </is>
      </c>
      <c r="G3" s="6" t="inlineStr">
        <is>
          <t>09/2026</t>
        </is>
      </c>
      <c r="H3" s="6" t="inlineStr">
        <is>
          <t>10/2026</t>
        </is>
      </c>
      <c r="I3" s="6" t="inlineStr">
        <is>
          <t>≥4 azioni se &gt;50 dipendenti; ≥2 se &lt;50</t>
        </is>
      </c>
      <c r="J3" s="6" t="inlineStr">
        <is>
          <t>CRITICA</t>
        </is>
      </c>
      <c r="K3" s="6" t="inlineStr">
        <is>
          <t>DA VERIFICARE</t>
        </is>
      </c>
      <c r="L3" s="6" t="inlineStr">
        <is>
          <t>Action plan + verbali</t>
        </is>
      </c>
    </row>
    <row r="4">
      <c r="A4" s="6" t="inlineStr">
        <is>
          <t>A03</t>
        </is>
      </c>
      <c r="B4" s="6" t="inlineStr">
        <is>
          <t>Nominare sostituto Referente Green Key</t>
        </is>
      </c>
      <c r="C4" s="6" t="inlineStr">
        <is>
          <t>OBJ-GOV</t>
        </is>
      </c>
      <c r="D4" s="6" t="inlineStr">
        <is>
          <t>1.1</t>
        </is>
      </c>
      <c r="E4" s="6" t="inlineStr">
        <is>
          <t>Massimo + HR</t>
        </is>
      </c>
      <c r="F4" s="6" t="inlineStr">
        <is>
          <t>Direzione + HR</t>
        </is>
      </c>
      <c r="G4" s="6" t="inlineStr">
        <is>
          <t>09/2026</t>
        </is>
      </c>
      <c r="H4" s="6" t="inlineStr">
        <is>
          <t>09/2026</t>
        </is>
      </c>
      <c r="I4" s="6" t="inlineStr">
        <is>
          <t>Nomina formale</t>
        </is>
      </c>
      <c r="J4" s="6" t="inlineStr">
        <is>
          <t>CRITICA</t>
        </is>
      </c>
      <c r="K4" s="6" t="inlineStr">
        <is>
          <t>DA VERIFICARE</t>
        </is>
      </c>
      <c r="L4" s="6" t="inlineStr">
        <is>
          <t>Nomina</t>
        </is>
      </c>
    </row>
    <row r="5">
      <c r="A5" s="6" t="inlineStr">
        <is>
          <t>A04</t>
        </is>
      </c>
      <c r="B5" s="6" t="inlineStr">
        <is>
          <t>Creare Digital Binder criterio-per-criterio</t>
        </is>
      </c>
      <c r="C5" s="6" t="inlineStr">
        <is>
          <t>OBJ-GOV</t>
        </is>
      </c>
      <c r="D5" s="6" t="inlineStr">
        <is>
          <t>Tutti</t>
        </is>
      </c>
      <c r="E5" s="6" t="inlineStr">
        <is>
          <t>Jonathan</t>
        </is>
      </c>
      <c r="F5" s="6" t="inlineStr">
        <is>
          <t>Tutti</t>
        </is>
      </c>
      <c r="G5" s="6" t="inlineStr">
        <is>
          <t>09/2026</t>
        </is>
      </c>
      <c r="H5" s="6" t="inlineStr">
        <is>
          <t>10/2026</t>
        </is>
      </c>
      <c r="I5" s="6" t="inlineStr">
        <is>
          <t>100% criteri con cartella/evidenza</t>
        </is>
      </c>
      <c r="J5" s="6" t="inlineStr">
        <is>
          <t>CRITICA</t>
        </is>
      </c>
      <c r="K5" s="6" t="inlineStr">
        <is>
          <t>DA VERIFICARE</t>
        </is>
      </c>
      <c r="L5" s="6" t="inlineStr">
        <is>
          <t>Indice audit</t>
        </is>
      </c>
    </row>
    <row r="6">
      <c r="A6" s="6" t="inlineStr">
        <is>
          <t>A05</t>
        </is>
      </c>
      <c r="B6" s="6" t="inlineStr">
        <is>
          <t>Calcolare baseline acqua/energia/rifiuti/food waste per guest-night</t>
        </is>
      </c>
      <c r="C6" s="6" t="inlineStr">
        <is>
          <t>OBJ-ENV</t>
        </is>
      </c>
      <c r="D6" s="6" t="inlineStr">
        <is>
          <t>3–5</t>
        </is>
      </c>
      <c r="E6" s="6" t="inlineStr">
        <is>
          <t>Jonathan</t>
        </is>
      </c>
      <c r="F6" s="6" t="inlineStr">
        <is>
          <t>Maintenance + HK + F&amp;B + Finance</t>
        </is>
      </c>
      <c r="G6" s="6" t="inlineStr">
        <is>
          <t>09/2026</t>
        </is>
      </c>
      <c r="H6" s="6" t="inlineStr">
        <is>
          <t>10/2026</t>
        </is>
      </c>
      <c r="I6" s="6" t="inlineStr">
        <is>
          <t>Dashboard KPI mensile</t>
        </is>
      </c>
      <c r="J6" s="6" t="inlineStr">
        <is>
          <t>ALTA</t>
        </is>
      </c>
      <c r="K6" s="6" t="inlineStr">
        <is>
          <t>DA VERIFICARE</t>
        </is>
      </c>
      <c r="L6" s="6" t="inlineStr">
        <is>
          <t>KPI dashboard</t>
        </is>
      </c>
    </row>
    <row r="7">
      <c r="A7" s="6" t="inlineStr">
        <is>
          <t>A06</t>
        </is>
      </c>
      <c r="B7" s="6" t="inlineStr">
        <is>
          <t>Calcolare GHG Scope 1–2</t>
        </is>
      </c>
      <c r="C7" s="6" t="inlineStr">
        <is>
          <t>OBJ-CARBON</t>
        </is>
      </c>
      <c r="D7" s="6" t="inlineStr">
        <is>
          <t>4.27</t>
        </is>
      </c>
      <c r="E7" s="6" t="inlineStr">
        <is>
          <t>Jonathan</t>
        </is>
      </c>
      <c r="F7" s="6" t="inlineStr">
        <is>
          <t>Finance + Maintenance</t>
        </is>
      </c>
      <c r="G7" s="6" t="inlineStr">
        <is>
          <t>10/2026</t>
        </is>
      </c>
      <c r="H7" s="6" t="inlineStr">
        <is>
          <t>01/2027</t>
        </is>
      </c>
      <c r="I7" s="6" t="inlineStr">
        <is>
          <t>tCO2e + metodologia</t>
        </is>
      </c>
      <c r="J7" s="6" t="inlineStr">
        <is>
          <t>CRITICA</t>
        </is>
      </c>
      <c r="K7" s="6" t="inlineStr">
        <is>
          <t>DA VERIFICARE</t>
        </is>
      </c>
      <c r="L7" s="6" t="inlineStr">
        <is>
          <t>GHG report</t>
        </is>
      </c>
    </row>
    <row r="8">
      <c r="A8" s="6" t="inlineStr">
        <is>
          <t>A07</t>
        </is>
      </c>
      <c r="B8" s="6" t="inlineStr">
        <is>
          <t>Valutare Scope 3 applicabile</t>
        </is>
      </c>
      <c r="C8" s="6" t="inlineStr">
        <is>
          <t>OBJ-CARBON</t>
        </is>
      </c>
      <c r="D8" s="6" t="inlineStr">
        <is>
          <t>4.28</t>
        </is>
      </c>
      <c r="E8" s="6" t="inlineStr">
        <is>
          <t>Jonathan</t>
        </is>
      </c>
      <c r="F8" s="6" t="inlineStr">
        <is>
          <t>Purchasing + F&amp;B + Finance + HR</t>
        </is>
      </c>
      <c r="G8" s="6" t="inlineStr">
        <is>
          <t>01/2027</t>
        </is>
      </c>
      <c r="H8" s="6" t="inlineStr">
        <is>
          <t>03/2027</t>
        </is>
      </c>
      <c r="I8" s="6" t="inlineStr">
        <is>
          <t>Inventario Scope 3</t>
        </is>
      </c>
      <c r="J8" s="6" t="inlineStr">
        <is>
          <t>ALTA</t>
        </is>
      </c>
      <c r="K8" s="6" t="inlineStr">
        <is>
          <t>DA VERIFICARE</t>
        </is>
      </c>
      <c r="L8" s="6" t="inlineStr">
        <is>
          <t>Scope 3 workbook</t>
        </is>
      </c>
    </row>
    <row r="9">
      <c r="A9" s="6" t="inlineStr">
        <is>
          <t>A08</t>
        </is>
      </c>
      <c r="B9" s="6" t="inlineStr">
        <is>
          <t>Water Risk Assessment</t>
        </is>
      </c>
      <c r="C9" s="6" t="inlineStr">
        <is>
          <t>OBJ-WATER</t>
        </is>
      </c>
      <c r="D9" s="6" t="inlineStr">
        <is>
          <t>3.9</t>
        </is>
      </c>
      <c r="E9" s="6" t="inlineStr">
        <is>
          <t>Jonathan</t>
        </is>
      </c>
      <c r="F9" s="6" t="inlineStr">
        <is>
          <t>Maintenance + Operations</t>
        </is>
      </c>
      <c r="G9" s="6" t="inlineStr">
        <is>
          <t>10/2026</t>
        </is>
      </c>
      <c r="H9" s="6" t="inlineStr">
        <is>
          <t>01/2027</t>
        </is>
      </c>
      <c r="I9" s="6" t="inlineStr">
        <is>
          <t>Assessment approvato</t>
        </is>
      </c>
      <c r="J9" s="6" t="inlineStr">
        <is>
          <t>ALTA</t>
        </is>
      </c>
      <c r="K9" s="6" t="inlineStr">
        <is>
          <t>DA VERIFICARE</t>
        </is>
      </c>
      <c r="L9" s="6" t="inlineStr">
        <is>
          <t>WRA</t>
        </is>
      </c>
    </row>
    <row r="10">
      <c r="A10" s="6" t="inlineStr">
        <is>
          <t>A09</t>
        </is>
      </c>
      <c r="B10" s="6" t="inlineStr">
        <is>
          <t>Nature/Biodiversity Risk &amp; Opportunity Assessment</t>
        </is>
      </c>
      <c r="C10" s="6" t="inlineStr">
        <is>
          <t>OBJ-BIODIV</t>
        </is>
      </c>
      <c r="D10" s="6" t="inlineStr">
        <is>
          <t>7.12</t>
        </is>
      </c>
      <c r="E10" s="6" t="inlineStr">
        <is>
          <t>Jonathan</t>
        </is>
      </c>
      <c r="F10" s="6" t="inlineStr">
        <is>
          <t>Gardening + Operations</t>
        </is>
      </c>
      <c r="G10" s="6" t="inlineStr">
        <is>
          <t>10/2026</t>
        </is>
      </c>
      <c r="H10" s="6" t="inlineStr">
        <is>
          <t>01/2027</t>
        </is>
      </c>
      <c r="I10" s="6" t="inlineStr">
        <is>
          <t>Assessment + mappa</t>
        </is>
      </c>
      <c r="J10" s="6" t="inlineStr">
        <is>
          <t>ALTA</t>
        </is>
      </c>
      <c r="K10" s="6" t="inlineStr">
        <is>
          <t>DA VERIFICARE</t>
        </is>
      </c>
      <c r="L10" s="6" t="inlineStr">
        <is>
          <t>NBOA</t>
        </is>
      </c>
    </row>
    <row r="11">
      <c r="A11" s="6" t="inlineStr">
        <is>
          <t>A10</t>
        </is>
      </c>
      <c r="B11" s="6" t="inlineStr">
        <is>
          <t>Protocollo annuale monitoraggio biodiversità</t>
        </is>
      </c>
      <c r="C11" s="6" t="inlineStr">
        <is>
          <t>OBJ-BIODIV</t>
        </is>
      </c>
      <c r="D11" s="6" t="inlineStr">
        <is>
          <t>7.13</t>
        </is>
      </c>
      <c r="E11" s="6" t="inlineStr">
        <is>
          <t>Jonathan</t>
        </is>
      </c>
      <c r="F11" s="6" t="inlineStr">
        <is>
          <t>Gardening + HK</t>
        </is>
      </c>
      <c r="G11" s="6" t="inlineStr">
        <is>
          <t>01/2027</t>
        </is>
      </c>
      <c r="H11" s="6" t="inlineStr">
        <is>
          <t>04/2027</t>
        </is>
      </c>
      <c r="I11" s="6" t="inlineStr">
        <is>
          <t>1 monitoraggio documentato/anno</t>
        </is>
      </c>
      <c r="J11" s="6" t="inlineStr">
        <is>
          <t>MEDIA</t>
        </is>
      </c>
      <c r="K11" s="6" t="inlineStr">
        <is>
          <t>DA VERIFICARE</t>
        </is>
      </c>
      <c r="L11" s="6" t="inlineStr">
        <is>
          <t>Registro specie/foto</t>
        </is>
      </c>
    </row>
    <row r="12">
      <c r="A12" s="6" t="inlineStr">
        <is>
          <t>A11</t>
        </is>
      </c>
      <c r="B12" s="6" t="inlineStr">
        <is>
          <t>Sustainable Procurement Policy</t>
        </is>
      </c>
      <c r="C12" s="6" t="inlineStr">
        <is>
          <t>OBJ-PROC</t>
        </is>
      </c>
      <c r="D12" s="6" t="inlineStr">
        <is>
          <t>6.1</t>
        </is>
      </c>
      <c r="E12" s="6" t="inlineStr">
        <is>
          <t>Alessandra</t>
        </is>
      </c>
      <c r="F12" s="6" t="inlineStr">
        <is>
          <t>Purchasing + F&amp;B + HK</t>
        </is>
      </c>
      <c r="G12" s="6" t="inlineStr">
        <is>
          <t>10/2026</t>
        </is>
      </c>
      <c r="H12" s="6" t="inlineStr">
        <is>
          <t>01/2027</t>
        </is>
      </c>
      <c r="I12" s="6" t="inlineStr">
        <is>
          <t>Policy + criteri acquisto</t>
        </is>
      </c>
      <c r="J12" s="6" t="inlineStr">
        <is>
          <t>CRITICA</t>
        </is>
      </c>
      <c r="K12" s="6" t="inlineStr">
        <is>
          <t>DA VERIFICARE</t>
        </is>
      </c>
      <c r="L12" s="6" t="inlineStr">
        <is>
          <t>Policy</t>
        </is>
      </c>
    </row>
    <row r="13">
      <c r="A13" s="6" t="inlineStr">
        <is>
          <t>A12</t>
        </is>
      </c>
      <c r="B13" s="6" t="inlineStr">
        <is>
          <t>Code of Conduct + fair work review</t>
        </is>
      </c>
      <c r="C13" s="6" t="inlineStr">
        <is>
          <t>OBJ-SOC</t>
        </is>
      </c>
      <c r="D13" s="6" t="inlineStr">
        <is>
          <t>1.4,1.15</t>
        </is>
      </c>
      <c r="E13" s="6" t="inlineStr">
        <is>
          <t>Rosita</t>
        </is>
      </c>
      <c r="F13" s="6" t="inlineStr">
        <is>
          <t>HR + Finance</t>
        </is>
      </c>
      <c r="G13" s="6" t="inlineStr">
        <is>
          <t>10/2026</t>
        </is>
      </c>
      <c r="H13" s="6" t="inlineStr">
        <is>
          <t>01/2027</t>
        </is>
      </c>
      <c r="I13" s="6" t="inlineStr">
        <is>
          <t>Policy + sample documentale</t>
        </is>
      </c>
      <c r="J13" s="6" t="inlineStr">
        <is>
          <t>ALTA</t>
        </is>
      </c>
      <c r="K13" s="6" t="inlineStr">
        <is>
          <t>DA VERIFICARE</t>
        </is>
      </c>
      <c r="L13" s="6" t="inlineStr">
        <is>
          <t>HR evidence pack</t>
        </is>
      </c>
    </row>
    <row r="14">
      <c r="A14" s="6" t="inlineStr">
        <is>
          <t>A13</t>
        </is>
      </c>
      <c r="B14" s="6" t="inlineStr">
        <is>
          <t>Accessibilità: assessment e piano</t>
        </is>
      </c>
      <c r="C14" s="6" t="inlineStr">
        <is>
          <t>OBJ-INCLUSION</t>
        </is>
      </c>
      <c r="D14" s="6" t="inlineStr">
        <is>
          <t>1.18</t>
        </is>
      </c>
      <c r="E14" s="6" t="inlineStr">
        <is>
          <t>Rosita + Alessandra</t>
        </is>
      </c>
      <c r="F14" s="6" t="inlineStr">
        <is>
          <t>Operations + HR</t>
        </is>
      </c>
      <c r="G14" s="6" t="inlineStr">
        <is>
          <t>10/2026</t>
        </is>
      </c>
      <c r="H14" s="6" t="inlineStr">
        <is>
          <t>01/2027</t>
        </is>
      </c>
      <c r="I14" s="6" t="inlineStr">
        <is>
          <t>Assessment + piano</t>
        </is>
      </c>
      <c r="J14" s="6" t="inlineStr">
        <is>
          <t>ALTA</t>
        </is>
      </c>
      <c r="K14" s="6" t="inlineStr">
        <is>
          <t>DA VERIFICARE</t>
        </is>
      </c>
      <c r="L14" s="6" t="inlineStr">
        <is>
          <t>Access plan</t>
        </is>
      </c>
    </row>
    <row r="15">
      <c r="A15" s="6" t="inlineStr">
        <is>
          <t>A14</t>
        </is>
      </c>
      <c r="B15" s="6" t="inlineStr">
        <is>
          <t>Formazione Green Key e sostenibilità per staff front-facing</t>
        </is>
      </c>
      <c r="C15" s="6" t="inlineStr">
        <is>
          <t>OBJ-CULTURE</t>
        </is>
      </c>
      <c r="D15" s="6" t="inlineStr">
        <is>
          <t>2.x / 1.x</t>
        </is>
      </c>
      <c r="E15" s="6" t="inlineStr">
        <is>
          <t>Jonathan + Rosita</t>
        </is>
      </c>
      <c r="F15" s="6" t="inlineStr">
        <is>
          <t>Reception + F&amp;B + Spa + HK</t>
        </is>
      </c>
      <c r="G15" s="6" t="inlineStr">
        <is>
          <t>10/2026</t>
        </is>
      </c>
      <c r="H15" s="6" t="inlineStr">
        <is>
          <t>11/2026</t>
        </is>
      </c>
      <c r="I15" s="6" t="inlineStr">
        <is>
          <t>100% staff target formato</t>
        </is>
      </c>
      <c r="J15" s="6" t="inlineStr">
        <is>
          <t>CRITICA</t>
        </is>
      </c>
      <c r="K15" s="6" t="inlineStr">
        <is>
          <t>DA VERIFICARE</t>
        </is>
      </c>
      <c r="L15" s="6" t="inlineStr">
        <is>
          <t>Training register</t>
        </is>
      </c>
    </row>
    <row r="16">
      <c r="A16" s="6" t="inlineStr">
        <is>
          <t>A15</t>
        </is>
      </c>
      <c r="B16" s="6" t="inlineStr">
        <is>
          <t>Guest feedback + responsible tourism guide + mobilità</t>
        </is>
      </c>
      <c r="C16" s="6" t="inlineStr">
        <is>
          <t>OBJ-GUEST</t>
        </is>
      </c>
      <c r="D16" s="6" t="inlineStr">
        <is>
          <t>2.x</t>
        </is>
      </c>
      <c r="E16" s="6" t="inlineStr">
        <is>
          <t>Alessandra</t>
        </is>
      </c>
      <c r="F16" s="6" t="inlineStr">
        <is>
          <t>Reception + Marketing</t>
        </is>
      </c>
      <c r="G16" s="6" t="inlineStr">
        <is>
          <t>10/2026</t>
        </is>
      </c>
      <c r="H16" s="6" t="inlineStr">
        <is>
          <t>11/2026</t>
        </is>
      </c>
      <c r="I16" s="6" t="inlineStr">
        <is>
          <t>QR/guide + feedback KPI</t>
        </is>
      </c>
      <c r="J16" s="6" t="inlineStr">
        <is>
          <t>ALTA</t>
        </is>
      </c>
      <c r="K16" s="6" t="inlineStr">
        <is>
          <t>DA VERIFICARE</t>
        </is>
      </c>
      <c r="L16" s="6" t="inlineStr">
        <is>
          <t>Guest evidence</t>
        </is>
      </c>
    </row>
    <row r="17">
      <c r="A17" s="6" t="inlineStr">
        <is>
          <t>A16</t>
        </is>
      </c>
      <c r="B17" s="6" t="inlineStr">
        <is>
          <t>Internal Mock Audit #1</t>
        </is>
      </c>
      <c r="C17" s="6" t="inlineStr">
        <is>
          <t>OBJ-GOV</t>
        </is>
      </c>
      <c r="D17" s="6" t="inlineStr">
        <is>
          <t>Tutti</t>
        </is>
      </c>
      <c r="E17" s="6" t="inlineStr">
        <is>
          <t>Jonathan</t>
        </is>
      </c>
      <c r="F17" s="6" t="inlineStr">
        <is>
          <t>Green Team</t>
        </is>
      </c>
      <c r="G17" s="6" t="inlineStr">
        <is>
          <t>02/2027</t>
        </is>
      </c>
      <c r="H17" s="6" t="inlineStr">
        <is>
          <t>02/2027</t>
        </is>
      </c>
      <c r="I17" s="6" t="inlineStr">
        <is>
          <t>0 NC critiche aperte</t>
        </is>
      </c>
      <c r="J17" s="6" t="inlineStr">
        <is>
          <t>CRITICA</t>
        </is>
      </c>
      <c r="K17" s="6" t="inlineStr">
        <is>
          <t>DA VERIFICARE</t>
        </is>
      </c>
      <c r="L17" s="6" t="inlineStr">
        <is>
          <t>Mock audit report</t>
        </is>
      </c>
    </row>
    <row r="18">
      <c r="A18" s="6" t="inlineStr">
        <is>
          <t>A17</t>
        </is>
      </c>
      <c r="B18" s="6" t="inlineStr">
        <is>
          <t>Internal Mock Audit #2</t>
        </is>
      </c>
      <c r="C18" s="6" t="inlineStr">
        <is>
          <t>OBJ-GOV</t>
        </is>
      </c>
      <c r="D18" s="6" t="inlineStr">
        <is>
          <t>Tutti</t>
        </is>
      </c>
      <c r="E18" s="6" t="inlineStr">
        <is>
          <t>Jonathan</t>
        </is>
      </c>
      <c r="F18" s="6" t="inlineStr">
        <is>
          <t>Tutti</t>
        </is>
      </c>
      <c r="G18" s="6" t="inlineStr">
        <is>
          <t>06/2027</t>
        </is>
      </c>
      <c r="H18" s="6" t="inlineStr">
        <is>
          <t>06/2027</t>
        </is>
      </c>
      <c r="I18" s="6" t="inlineStr">
        <is>
          <t>≥95% readiness</t>
        </is>
      </c>
      <c r="J18" s="6" t="inlineStr">
        <is>
          <t>CRITICA</t>
        </is>
      </c>
      <c r="K18" s="6" t="inlineStr">
        <is>
          <t>DA VERIFICARE</t>
        </is>
      </c>
      <c r="L18" s="6" t="inlineStr">
        <is>
          <t>Mock audit report</t>
        </is>
      </c>
    </row>
    <row r="19">
      <c r="A19" s="6" t="inlineStr">
        <is>
          <t>A18</t>
        </is>
      </c>
      <c r="B19" s="6" t="inlineStr">
        <is>
          <t>Final Audit Pack + Management Review</t>
        </is>
      </c>
      <c r="C19" s="6" t="inlineStr">
        <is>
          <t>OBJ-GOV</t>
        </is>
      </c>
      <c r="D19" s="6" t="inlineStr">
        <is>
          <t>Tutti</t>
        </is>
      </c>
      <c r="E19" s="6" t="inlineStr">
        <is>
          <t>Jonathan + Massimo</t>
        </is>
      </c>
      <c r="F19" s="6" t="inlineStr">
        <is>
          <t>Direzione + Green Team</t>
        </is>
      </c>
      <c r="G19" s="6" t="inlineStr">
        <is>
          <t>08/2027</t>
        </is>
      </c>
      <c r="H19" s="6" t="inlineStr">
        <is>
          <t>09/2027</t>
        </is>
      </c>
      <c r="I19" s="6" t="inlineStr">
        <is>
          <t>GO/NO-GO audit</t>
        </is>
      </c>
      <c r="J19" s="6" t="inlineStr">
        <is>
          <t>CRITICA</t>
        </is>
      </c>
      <c r="K19" s="6" t="inlineStr">
        <is>
          <t>DA VERIFICARE</t>
        </is>
      </c>
      <c r="L19" s="6" t="inlineStr">
        <is>
          <t>Audit pack</t>
        </is>
      </c>
    </row>
  </sheetData>
  <autoFilter ref="A1:L19"/>
  <dataValidations count="1">
    <dataValidation sqref="K2:K19" showDropDown="0" showInputMessage="0" showErrorMessage="0" allowBlank="0" type="list">
      <formula1>"DA VERIFICARE,IN CORSO,COMPLETATO,CRITICO / NON CONFORME"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showGridLines="0" workbookViewId="0">
      <pane ySplit="1" topLeftCell="A2" activePane="bottomLeft" state="frozen"/>
      <selection pane="bottomLeft" activeCell="A1" sqref="A1"/>
    </sheetView>
  </sheetViews>
  <sheetFormatPr baseColWidth="8" defaultRowHeight="15"/>
  <cols>
    <col width="18" customWidth="1" min="1" max="1"/>
    <col width="28" customWidth="1" min="2" max="2"/>
    <col width="55" customWidth="1" min="3" max="3"/>
    <col width="35" customWidth="1" min="4" max="4"/>
    <col width="14" customWidth="1" min="5" max="5"/>
  </cols>
  <sheetData>
    <row r="1">
      <c r="A1" s="4" t="inlineStr">
        <is>
          <t>Mese</t>
        </is>
      </c>
      <c r="B1" s="4" t="inlineStr">
        <is>
          <t>Milestone</t>
        </is>
      </c>
      <c r="C1" s="4" t="inlineStr">
        <is>
          <t>Deliverable</t>
        </is>
      </c>
      <c r="D1" s="4" t="inlineStr">
        <is>
          <t>Owner</t>
        </is>
      </c>
      <c r="E1" s="4" t="inlineStr">
        <is>
          <t>Gate</t>
        </is>
      </c>
    </row>
    <row r="2">
      <c r="A2" s="7" t="inlineStr">
        <is>
          <t>Set 2026</t>
        </is>
      </c>
      <c r="B2" s="7" t="inlineStr">
        <is>
          <t>Governance kick-off</t>
        </is>
      </c>
      <c r="C2" s="7" t="inlineStr">
        <is>
          <t>Nomina sostituto + obiettivi strategici</t>
        </is>
      </c>
      <c r="D2" s="7" t="inlineStr">
        <is>
          <t>Massimo + Jonathan</t>
        </is>
      </c>
      <c r="E2" s="7" t="inlineStr">
        <is>
          <t>GO-1</t>
        </is>
      </c>
    </row>
    <row r="3">
      <c r="A3" s="7" t="inlineStr">
        <is>
          <t>Ott 2026</t>
        </is>
      </c>
      <c r="B3" s="7" t="inlineStr">
        <is>
          <t>Sistema documentale</t>
        </is>
      </c>
      <c r="C3" s="7" t="inlineStr">
        <is>
          <t>Binder + Action Plan + baseline KPI</t>
        </is>
      </c>
      <c r="D3" s="7" t="inlineStr">
        <is>
          <t>Jonathan</t>
        </is>
      </c>
      <c r="E3" s="7" t="inlineStr">
        <is>
          <t>GO-2</t>
        </is>
      </c>
    </row>
    <row r="4">
      <c r="A4" s="7" t="inlineStr">
        <is>
          <t>Nov 2026</t>
        </is>
      </c>
      <c r="B4" s="7" t="inlineStr">
        <is>
          <t>People &amp; Guest</t>
        </is>
      </c>
      <c r="C4" s="7" t="inlineStr">
        <is>
          <t>Training + Code of Conduct + guest journey</t>
        </is>
      </c>
      <c r="D4" s="7" t="inlineStr">
        <is>
          <t>HR + Jonathan + Alessandra</t>
        </is>
      </c>
      <c r="E4" s="7" t="inlineStr">
        <is>
          <t>GO-3</t>
        </is>
      </c>
    </row>
    <row r="5">
      <c r="A5" s="7" t="inlineStr">
        <is>
          <t>Dic 2026</t>
        </is>
      </c>
      <c r="B5" s="7" t="inlineStr">
        <is>
          <t>Operations</t>
        </is>
      </c>
      <c r="C5" s="7" t="inlineStr">
        <is>
          <t>Water/waste/energy evidence review</t>
        </is>
      </c>
      <c r="D5" s="7" t="inlineStr">
        <is>
          <t>Alessandra + Georgiana + Vito</t>
        </is>
      </c>
      <c r="E5" s="7" t="inlineStr">
        <is>
          <t>GO-4</t>
        </is>
      </c>
    </row>
    <row r="6">
      <c r="A6" s="7" t="inlineStr">
        <is>
          <t>Gen 2027</t>
        </is>
      </c>
      <c r="B6" s="7" t="inlineStr">
        <is>
          <t>Risk &amp; Carbon</t>
        </is>
      </c>
      <c r="C6" s="7" t="inlineStr">
        <is>
          <t>Scope 1–2 + Water Risk + Biodiversity Risk + Procurement</t>
        </is>
      </c>
      <c r="D6" s="7" t="inlineStr">
        <is>
          <t>Jonathan + Alessandra</t>
        </is>
      </c>
      <c r="E6" s="7" t="inlineStr">
        <is>
          <t>GO-5</t>
        </is>
      </c>
    </row>
    <row r="7">
      <c r="A7" s="7" t="inlineStr">
        <is>
          <t>Feb 2027</t>
        </is>
      </c>
      <c r="B7" s="7" t="inlineStr">
        <is>
          <t>Mock Audit 1</t>
        </is>
      </c>
      <c r="C7" s="7" t="inlineStr">
        <is>
          <t>Audit documentale + site walk</t>
        </is>
      </c>
      <c r="D7" s="7" t="inlineStr">
        <is>
          <t>Jonathan</t>
        </is>
      </c>
      <c r="E7" s="7" t="inlineStr">
        <is>
          <t>GO-6</t>
        </is>
      </c>
    </row>
    <row r="8">
      <c r="A8" s="7" t="inlineStr">
        <is>
          <t>Mar–Apr 2027</t>
        </is>
      </c>
      <c r="B8" s="7" t="inlineStr">
        <is>
          <t>Implementation</t>
        </is>
      </c>
      <c r="C8" s="7" t="inlineStr">
        <is>
          <t>Scope 3 + biodiversity monitoring + corrective actions</t>
        </is>
      </c>
      <c r="D8" s="7" t="inlineStr">
        <is>
          <t>Green Team</t>
        </is>
      </c>
      <c r="E8" s="7" t="inlineStr">
        <is>
          <t>GO-7</t>
        </is>
      </c>
    </row>
    <row r="9">
      <c r="A9" s="7" t="inlineStr">
        <is>
          <t>Mag 2027</t>
        </is>
      </c>
      <c r="B9" s="7" t="inlineStr">
        <is>
          <t>Social/F&amp;B</t>
        </is>
      </c>
      <c r="C9" s="7" t="inlineStr">
        <is>
          <t>Welfare + sustainable F&amp;B + food garden</t>
        </is>
      </c>
      <c r="D9" s="7" t="inlineStr">
        <is>
          <t>Rosita + Vito</t>
        </is>
      </c>
      <c r="E9" s="7" t="inlineStr">
        <is>
          <t>GO-8</t>
        </is>
      </c>
    </row>
    <row r="10">
      <c r="A10" s="7" t="inlineStr">
        <is>
          <t>Giu 2027</t>
        </is>
      </c>
      <c r="B10" s="7" t="inlineStr">
        <is>
          <t>Mock Audit 2</t>
        </is>
      </c>
      <c r="C10" s="7" t="inlineStr">
        <is>
          <t>Simulazione audit completa 2–6h</t>
        </is>
      </c>
      <c r="D10" s="7" t="inlineStr">
        <is>
          <t>Jonathan</t>
        </is>
      </c>
      <c r="E10" s="7" t="inlineStr">
        <is>
          <t>GO-9</t>
        </is>
      </c>
    </row>
    <row r="11">
      <c r="A11" s="7" t="inlineStr">
        <is>
          <t>Lug 2027</t>
        </is>
      </c>
      <c r="B11" s="7" t="inlineStr">
        <is>
          <t>Closure</t>
        </is>
      </c>
      <c r="C11" s="7" t="inlineStr">
        <is>
          <t>Chiudere gap e NC interne</t>
        </is>
      </c>
      <c r="D11" s="7" t="inlineStr">
        <is>
          <t>Green Team</t>
        </is>
      </c>
      <c r="E11" s="7" t="inlineStr">
        <is>
          <t>GO-10</t>
        </is>
      </c>
    </row>
    <row r="12">
      <c r="A12" s="7" t="inlineStr">
        <is>
          <t>Ago 2027</t>
        </is>
      </c>
      <c r="B12" s="7" t="inlineStr">
        <is>
          <t>Audit Pack</t>
        </is>
      </c>
      <c r="C12" s="7" t="inlineStr">
        <is>
          <t>Final evidence index + KPI + management review</t>
        </is>
      </c>
      <c r="D12" s="7" t="inlineStr">
        <is>
          <t>Jonathan + Massimo</t>
        </is>
      </c>
      <c r="E12" s="7" t="inlineStr">
        <is>
          <t>GO-11</t>
        </is>
      </c>
    </row>
    <row r="13">
      <c r="A13" s="7" t="inlineStr">
        <is>
          <t>Set 2027</t>
        </is>
      </c>
      <c r="B13" s="7" t="inlineStr">
        <is>
          <t>Audit readiness</t>
        </is>
      </c>
      <c r="C13" s="7" t="inlineStr">
        <is>
          <t>Briefing staff + site walk + GO/NO-GO</t>
        </is>
      </c>
      <c r="D13" s="7" t="inlineStr">
        <is>
          <t>Jonathan + Massimo</t>
        </is>
      </c>
      <c r="E13" s="7" t="inlineStr">
        <is>
          <t>GO-12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26" customWidth="1" min="1" max="1"/>
    <col width="26" customWidth="1" min="2" max="2"/>
    <col width="62" customWidth="1" min="3" max="3"/>
    <col width="38" customWidth="1" min="4" max="4"/>
    <col width="40" customWidth="1" min="5" max="5"/>
  </cols>
  <sheetData>
    <row r="1">
      <c r="A1" s="4" t="inlineStr">
        <is>
          <t>Persona</t>
        </is>
      </c>
      <c r="B1" s="4" t="inlineStr">
        <is>
          <t>Ruolo</t>
        </is>
      </c>
      <c r="C1" s="4" t="inlineStr">
        <is>
          <t>Responsabilità Green Key nel Master Audit</t>
        </is>
      </c>
      <c r="D1" s="4" t="inlineStr">
        <is>
          <t>Reparti / processi</t>
        </is>
      </c>
      <c r="E1" s="4" t="inlineStr">
        <is>
          <t>Output atteso</t>
        </is>
      </c>
    </row>
    <row r="2">
      <c r="A2" s="7" t="inlineStr">
        <is>
          <t>Jonathan Pezzino</t>
        </is>
      </c>
      <c r="B2" s="7" t="inlineStr">
        <is>
          <t>Referente Green Key</t>
        </is>
      </c>
      <c r="C2" s="7" t="inlineStr">
        <is>
          <t>Governance, criteri, audit pack, KPI, GHG, water/biodiversity risk, follow-up</t>
        </is>
      </c>
      <c r="D2" s="7" t="inlineStr">
        <is>
          <t>Tutti</t>
        </is>
      </c>
      <c r="E2" s="7" t="inlineStr">
        <is>
          <t>Master evidence pack + reporting</t>
        </is>
      </c>
    </row>
    <row r="3">
      <c r="A3" s="7" t="inlineStr">
        <is>
          <t>Massimo Dorino</t>
        </is>
      </c>
      <c r="B3" s="7" t="inlineStr">
        <is>
          <t>General Manager</t>
        </is>
      </c>
      <c r="C3" s="7" t="inlineStr">
        <is>
          <t>Sponsor, approvazione obiettivi/action plan, risorse, management review</t>
        </is>
      </c>
      <c r="D3" s="7" t="inlineStr">
        <is>
          <t>Direzione</t>
        </is>
      </c>
      <c r="E3" s="7" t="inlineStr">
        <is>
          <t>Approvazioni + decisioni</t>
        </is>
      </c>
    </row>
    <row r="4">
      <c r="A4" s="7" t="inlineStr">
        <is>
          <t>Alessandra Ferrara</t>
        </is>
      </c>
      <c r="B4" s="7" t="inlineStr">
        <is>
          <t>Operations Manager</t>
        </is>
      </c>
      <c r="C4" s="7" t="inlineStr">
        <is>
          <t>Energy, water, maintenance, procurement, guest operations</t>
        </is>
      </c>
      <c r="D4" s="7" t="inlineStr">
        <is>
          <t>Operations/Maintenance</t>
        </is>
      </c>
      <c r="E4" s="7" t="inlineStr">
        <is>
          <t>Registri tecnici + acquisti</t>
        </is>
      </c>
    </row>
    <row r="5">
      <c r="A5" s="7" t="inlineStr">
        <is>
          <t>Vito Quarto</t>
        </is>
      </c>
      <c r="B5" s="7" t="inlineStr">
        <is>
          <t>Executive Chef</t>
        </is>
      </c>
      <c r="C5" s="7" t="inlineStr">
        <is>
          <t>F&amp;B sustainability, menu, food waste, food garden</t>
        </is>
      </c>
      <c r="D5" s="7" t="inlineStr">
        <is>
          <t>F&amp;B</t>
        </is>
      </c>
      <c r="E5" s="7" t="inlineStr">
        <is>
          <t>Menu matrix + KPI food</t>
        </is>
      </c>
    </row>
    <row r="6">
      <c r="A6" s="7" t="inlineStr">
        <is>
          <t>Georgiana Radescu</t>
        </is>
      </c>
      <c r="B6" s="7" t="inlineStr">
        <is>
          <t>Housekeeping</t>
        </is>
      </c>
      <c r="C6" s="7" t="inlineStr">
        <is>
          <t>Waste, dispensers, courtesy kits, linen, cosmetics, room cleaning</t>
        </is>
      </c>
      <c r="D6" s="7" t="inlineStr">
        <is>
          <t>HK/Laundry</t>
        </is>
      </c>
      <c r="E6" s="7" t="inlineStr">
        <is>
          <t>SOP + ispezioni camere</t>
        </is>
      </c>
    </row>
    <row r="7">
      <c r="A7" s="7" t="inlineStr">
        <is>
          <t>Gabriella Carletti</t>
        </is>
      </c>
      <c r="B7" s="7" t="inlineStr">
        <is>
          <t>Spa Manager</t>
        </is>
      </c>
      <c r="C7" s="7" t="inlineStr">
        <is>
          <t>Spa-specific practices, guest communication, products</t>
        </is>
      </c>
      <c r="D7" s="7" t="inlineStr">
        <is>
          <t>Spa</t>
        </is>
      </c>
      <c r="E7" s="7" t="inlineStr">
        <is>
          <t>Evidence Spa</t>
        </is>
      </c>
    </row>
    <row r="8">
      <c r="A8" s="7" t="inlineStr">
        <is>
          <t>Rosita Paglialunga</t>
        </is>
      </c>
      <c r="B8" s="7" t="inlineStr">
        <is>
          <t>Head of HR</t>
        </is>
      </c>
      <c r="C8" s="7" t="inlineStr">
        <is>
          <t>Fair work, Code of Conduct, wellbeing, inclusion, training</t>
        </is>
      </c>
      <c r="D8" s="7" t="inlineStr">
        <is>
          <t>HR</t>
        </is>
      </c>
      <c r="E8" s="7" t="inlineStr">
        <is>
          <t>HR evidence pack</t>
        </is>
      </c>
    </row>
    <row r="9">
      <c r="A9" s="7" t="inlineStr">
        <is>
          <t>Karim El Habib</t>
        </is>
      </c>
      <c r="B9" s="7" t="inlineStr">
        <is>
          <t>Maitre Hotel</t>
        </is>
      </c>
      <c r="C9" s="7" t="inlineStr">
        <is>
          <t>F&amp;B guest communication, service implementation, staff briefing</t>
        </is>
      </c>
      <c r="D9" s="7" t="inlineStr">
        <is>
          <t>Restaurant/F&amp;B</t>
        </is>
      </c>
      <c r="E9" s="7" t="inlineStr">
        <is>
          <t>Briefing + service evidence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showGridLines="0" workbookViewId="0">
      <pane ySplit="1" topLeftCell="A2" activePane="bottomLeft" state="frozen"/>
      <selection pane="bottomLeft" activeCell="A1" sqref="A1"/>
    </sheetView>
  </sheetViews>
  <sheetFormatPr baseColWidth="8" defaultRowHeight="15"/>
  <cols>
    <col width="34" customWidth="1" min="1" max="1"/>
    <col width="90" customWidth="1" min="2" max="2"/>
    <col width="70" customWidth="1" min="3" max="3"/>
  </cols>
  <sheetData>
    <row r="1">
      <c r="A1" s="4" t="inlineStr">
        <is>
          <t>Fonte</t>
        </is>
      </c>
      <c r="B1" s="4" t="inlineStr">
        <is>
          <t>Riferimento</t>
        </is>
      </c>
      <c r="C1" s="4" t="inlineStr">
        <is>
          <t>Uso</t>
        </is>
      </c>
    </row>
    <row r="2">
      <c r="A2" s="7" t="inlineStr">
        <is>
          <t>Green Key Italia</t>
        </is>
      </c>
      <c r="B2" s="7" t="inlineStr">
        <is>
          <t>https://www.green-key.it/_files/ugd/297c89_607e0669d3634e9a82b3ff13e1de6e37.pdf</t>
        </is>
      </c>
      <c r="C2" s="7" t="inlineStr">
        <is>
          <t>Criteri e Note Esplicative 1/10/2026–31/12/2031</t>
        </is>
      </c>
    </row>
    <row r="3">
      <c r="A3" s="7" t="inlineStr">
        <is>
          <t>Green Key Italia – Il Programma</t>
        </is>
      </c>
      <c r="B3" s="7" t="inlineStr">
        <is>
          <t>https://www.green-key.it/il-programma</t>
        </is>
      </c>
      <c r="C3" s="7" t="inlineStr">
        <is>
          <t>Applicazione in Italia e processo</t>
        </is>
      </c>
    </row>
    <row r="4">
      <c r="A4" s="7" t="inlineStr">
        <is>
          <t>Green Key International</t>
        </is>
      </c>
      <c r="B4" s="7" t="inlineStr">
        <is>
          <t>https://www.greenkey.global/criteria-20262031</t>
        </is>
      </c>
      <c r="C4" s="7" t="inlineStr">
        <is>
          <t>Criteri 2026–2031 e transizione</t>
        </is>
      </c>
    </row>
    <row r="5">
      <c r="A5" s="7" t="inlineStr">
        <is>
          <t>Green Key International</t>
        </is>
      </c>
      <c r="B5" s="7" t="inlineStr">
        <is>
          <t>https://www.greenkey.global/certification-process-2026-2031</t>
        </is>
      </c>
      <c r="C5" s="7" t="inlineStr">
        <is>
          <t>Processo audit 2026–2031</t>
        </is>
      </c>
    </row>
    <row r="6">
      <c r="A6" s="7" t="inlineStr">
        <is>
          <t>File fornito da Fonteverde</t>
        </is>
      </c>
      <c r="B6" s="7" t="inlineStr">
        <is>
          <t>Confronto criteri 2022-2026 e 2026-2031.xlsx</t>
        </is>
      </c>
      <c r="C6" s="7" t="inlineStr">
        <is>
          <t>Confronto operativo utilizzato per il Master Audit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2026-09-02T02:19:56Z</dcterms:created>
  <dcterms:modified xmlns:dcterms="http://purl.org/dc/terms/" xmlns:xsi="http://www.w3.org/2001/XMLSchema-instance" xsi:type="dcterms:W3CDTF">2026-09-02T02:19:56Z</dcterms:modified>
</cp:coreProperties>
</file>